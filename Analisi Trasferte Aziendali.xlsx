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0863ecbbbb34e/Desktop/BusinessTravel/"/>
    </mc:Choice>
  </mc:AlternateContent>
  <xr:revisionPtr revIDLastSave="8" documentId="8_{14580D68-41DD-445B-9639-87983747EDEA}" xr6:coauthVersionLast="47" xr6:coauthVersionMax="47" xr10:uidLastSave="{80BA13C9-F61E-4E23-BC93-A57296296C87}"/>
  <bookViews>
    <workbookView xWindow="-108" yWindow="-108" windowWidth="23256" windowHeight="12456" xr2:uid="{9C311B82-447E-47EE-82FF-F30E6F1C8318}"/>
  </bookViews>
  <sheets>
    <sheet name="TBL_VIAGGI" sheetId="3" r:id="rId1"/>
    <sheet name="business_travel_dataset" sheetId="1" r:id="rId2"/>
    <sheet name="TBL_COORDINATE" sheetId="4" r:id="rId3"/>
    <sheet name="Foglio1" sheetId="2" state="hidden" r:id="rId4"/>
  </sheets>
  <definedNames>
    <definedName name="DatiEsterni_1" localSheetId="2" hidden="1">TBL_COORDINATE!$A$1:$C$9</definedName>
    <definedName name="DatiEsterni_1" localSheetId="0" hidden="1">TBL_VIAGGI!$A$1:$L$301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N232" i="3" s="1"/>
  <c r="M233" i="3"/>
  <c r="N233" i="3" s="1"/>
  <c r="M234" i="3"/>
  <c r="N234" i="3" s="1"/>
  <c r="M235" i="3"/>
  <c r="N235" i="3" s="1"/>
  <c r="M236" i="3"/>
  <c r="N236" i="3" s="1"/>
  <c r="M237" i="3"/>
  <c r="N237" i="3" s="1"/>
  <c r="M238" i="3"/>
  <c r="N238" i="3" s="1"/>
  <c r="M239" i="3"/>
  <c r="N239" i="3" s="1"/>
  <c r="M240" i="3"/>
  <c r="N240" i="3" s="1"/>
  <c r="M241" i="3"/>
  <c r="N241" i="3" s="1"/>
  <c r="M242" i="3"/>
  <c r="N242" i="3" s="1"/>
  <c r="M243" i="3"/>
  <c r="N243" i="3" s="1"/>
  <c r="M244" i="3"/>
  <c r="N244" i="3" s="1"/>
  <c r="M245" i="3"/>
  <c r="M246" i="3"/>
  <c r="N246" i="3" s="1"/>
  <c r="M247" i="3"/>
  <c r="N247" i="3" s="1"/>
  <c r="M248" i="3"/>
  <c r="N248" i="3" s="1"/>
  <c r="M249" i="3"/>
  <c r="N249" i="3" s="1"/>
  <c r="M250" i="3"/>
  <c r="N250" i="3" s="1"/>
  <c r="M251" i="3"/>
  <c r="N251" i="3" s="1"/>
  <c r="M252" i="3"/>
  <c r="N252" i="3" s="1"/>
  <c r="M253" i="3"/>
  <c r="N253" i="3" s="1"/>
  <c r="M254" i="3"/>
  <c r="N254" i="3" s="1"/>
  <c r="M255" i="3"/>
  <c r="N255" i="3" s="1"/>
  <c r="M256" i="3"/>
  <c r="N256" i="3" s="1"/>
  <c r="M257" i="3"/>
  <c r="M258" i="3"/>
  <c r="N258" i="3" s="1"/>
  <c r="M259" i="3"/>
  <c r="N259" i="3" s="1"/>
  <c r="M260" i="3"/>
  <c r="N260" i="3" s="1"/>
  <c r="M261" i="3"/>
  <c r="N261" i="3" s="1"/>
  <c r="M262" i="3"/>
  <c r="N262" i="3" s="1"/>
  <c r="M263" i="3"/>
  <c r="N263" i="3" s="1"/>
  <c r="M264" i="3"/>
  <c r="N264" i="3" s="1"/>
  <c r="M265" i="3"/>
  <c r="N265" i="3" s="1"/>
  <c r="M266" i="3"/>
  <c r="N266" i="3" s="1"/>
  <c r="M267" i="3"/>
  <c r="N267" i="3" s="1"/>
  <c r="M268" i="3"/>
  <c r="N268" i="3" s="1"/>
  <c r="M269" i="3"/>
  <c r="N269" i="3" s="1"/>
  <c r="M270" i="3"/>
  <c r="N270" i="3" s="1"/>
  <c r="M271" i="3"/>
  <c r="N271" i="3" s="1"/>
  <c r="M272" i="3"/>
  <c r="N272" i="3" s="1"/>
  <c r="M273" i="3"/>
  <c r="N273" i="3" s="1"/>
  <c r="M274" i="3"/>
  <c r="N274" i="3" s="1"/>
  <c r="M275" i="3"/>
  <c r="N275" i="3" s="1"/>
  <c r="M276" i="3"/>
  <c r="N276" i="3" s="1"/>
  <c r="M277" i="3"/>
  <c r="N277" i="3" s="1"/>
  <c r="M278" i="3"/>
  <c r="M279" i="3"/>
  <c r="N279" i="3" s="1"/>
  <c r="M280" i="3"/>
  <c r="N280" i="3" s="1"/>
  <c r="M281" i="3"/>
  <c r="N281" i="3" s="1"/>
  <c r="M282" i="3"/>
  <c r="N282" i="3" s="1"/>
  <c r="M283" i="3"/>
  <c r="N283" i="3" s="1"/>
  <c r="M284" i="3"/>
  <c r="N284" i="3" s="1"/>
  <c r="M285" i="3"/>
  <c r="N285" i="3" s="1"/>
  <c r="M286" i="3"/>
  <c r="N286" i="3" s="1"/>
  <c r="M287" i="3"/>
  <c r="N287" i="3" s="1"/>
  <c r="M288" i="3"/>
  <c r="N288" i="3" s="1"/>
  <c r="M289" i="3"/>
  <c r="N289" i="3" s="1"/>
  <c r="M290" i="3"/>
  <c r="M291" i="3"/>
  <c r="M292" i="3"/>
  <c r="N292" i="3" s="1"/>
  <c r="M293" i="3"/>
  <c r="M294" i="3"/>
  <c r="M295" i="3"/>
  <c r="N295" i="3" s="1"/>
  <c r="M296" i="3"/>
  <c r="N296" i="3" s="1"/>
  <c r="M297" i="3"/>
  <c r="N297" i="3" s="1"/>
  <c r="M298" i="3"/>
  <c r="N298" i="3" s="1"/>
  <c r="M299" i="3"/>
  <c r="N299" i="3" s="1"/>
  <c r="M300" i="3"/>
  <c r="N300" i="3" s="1"/>
  <c r="M301" i="3"/>
  <c r="N301" i="3" s="1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45" i="3"/>
  <c r="N257" i="3"/>
  <c r="N278" i="3"/>
  <c r="N290" i="3"/>
  <c r="N291" i="3"/>
  <c r="N293" i="3"/>
  <c r="N29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3477E7-E3C6-4DBF-8F70-BE113D926DC7}" keepAlive="1" name="Query - TBL_COORDINATE" description="Connessione alla query 'TBL_COORDINATE' nella cartella di lavoro." type="5" refreshedVersion="8" background="1" saveData="1">
    <dbPr connection="Provider=Microsoft.Mashup.OleDb.1;Data Source=$Workbook$;Location=TBL_COORDINATE;Extended Properties=&quot;&quot;" command="SELECT * FROM [TBL_COORDINATE]"/>
  </connection>
  <connection id="2" xr16:uid="{27D99927-C244-4777-B18E-2C28C8F04A33}" keepAlive="1" name="Query - TBL_VIAGGI" description="Connessione alla query 'TBL_VIAGGI' nella cartella di lavoro." type="5" refreshedVersion="8" background="1" saveData="1">
    <dbPr connection="Provider=Microsoft.Mashup.OleDb.1;Data Source=$Workbook$;Location=TBL_VIAGGI;Extended Properties=&quot;&quot;" command="SELECT * FROM [TBL_VIAGGI]"/>
  </connection>
</connections>
</file>

<file path=xl/sharedStrings.xml><?xml version="1.0" encoding="utf-8"?>
<sst xmlns="http://schemas.openxmlformats.org/spreadsheetml/2006/main" count="3045" uniqueCount="49">
  <si>
    <t>Date</t>
  </si>
  <si>
    <t>Employee</t>
  </si>
  <si>
    <t>Client</t>
  </si>
  <si>
    <t>Departure</t>
  </si>
  <si>
    <t>Destination</t>
  </si>
  <si>
    <t>Car</t>
  </si>
  <si>
    <t>Km_per_Liter</t>
  </si>
  <si>
    <t>Fuel_Price</t>
  </si>
  <si>
    <t>Travel_Cost</t>
  </si>
  <si>
    <t>Andrea Verdi</t>
  </si>
  <si>
    <t>Omega Group</t>
  </si>
  <si>
    <t>Verona</t>
  </si>
  <si>
    <t>Padova</t>
  </si>
  <si>
    <t>Toyota Yaris</t>
  </si>
  <si>
    <t>Laura Bianchi</t>
  </si>
  <si>
    <t>Gamma Tech</t>
  </si>
  <si>
    <t>Vicenza</t>
  </si>
  <si>
    <t>Delta Medical</t>
  </si>
  <si>
    <t>Brescia</t>
  </si>
  <si>
    <t>Audi A3</t>
  </si>
  <si>
    <t>Mantova</t>
  </si>
  <si>
    <t>Volkswagen Golf</t>
  </si>
  <si>
    <t>Luca Moretti</t>
  </si>
  <si>
    <t>Trento</t>
  </si>
  <si>
    <t>Beta SPA</t>
  </si>
  <si>
    <t>Fiat Panda</t>
  </si>
  <si>
    <t>Alfa SRL</t>
  </si>
  <si>
    <t>Giulia Ferrari</t>
  </si>
  <si>
    <t>Marco Rossi</t>
  </si>
  <si>
    <t>Milano</t>
  </si>
  <si>
    <t>Bologna</t>
  </si>
  <si>
    <t>Sigma Consulting</t>
  </si>
  <si>
    <t>Città</t>
  </si>
  <si>
    <t>Latitudine</t>
  </si>
  <si>
    <t>Longitudine</t>
  </si>
  <si>
    <t>Data</t>
  </si>
  <si>
    <t>Clienti</t>
  </si>
  <si>
    <t>Partenza</t>
  </si>
  <si>
    <t>Arrivo</t>
  </si>
  <si>
    <t>Latitudine_Partenza</t>
  </si>
  <si>
    <t>Longitudine_Partenza</t>
  </si>
  <si>
    <t>Latitudine_Arrivo</t>
  </si>
  <si>
    <t>Longitudine_Arrivo</t>
  </si>
  <si>
    <t>Km percosi-Linea d'aria</t>
  </si>
  <si>
    <t>Km percorsi effettivi</t>
  </si>
  <si>
    <t>Dipendenti</t>
  </si>
  <si>
    <t>Tipologia Macchina</t>
  </si>
  <si>
    <t>Consumo Macch. Km/L</t>
  </si>
  <si>
    <t>Prezzo Benzina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</si>
</sst>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64" formatCode="#,##0.00\ &quot;€&quot;"/>
    </dxf>
    <dxf>
      <numFmt numFmtId="164" formatCode="#,##0.00\ &quot;€&quot;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69FFDFA2-5D9C-4B6F-B8E2-AF33462A64E7}" autoFormatId="16" applyNumberFormats="0" applyBorderFormats="0" applyFontFormats="0" applyPatternFormats="0" applyAlignmentFormats="0" applyWidthHeightFormats="0">
  <queryTableRefresh nextId="42" unboundColumnsRight="2">
    <queryTableFields count="14">
      <queryTableField id="10" name="Data" tableColumnId="10"/>
      <queryTableField id="34" name="Dipendenti" tableColumnId="2"/>
      <queryTableField id="11" name="Clienti" tableColumnId="11"/>
      <queryTableField id="12" name="Partenza" tableColumnId="12"/>
      <queryTableField id="13" name="Arrivo" tableColumnId="13"/>
      <queryTableField id="35" name="Tipologia Macchina" tableColumnId="7"/>
      <queryTableField id="36" name="Consumo Macch. Km/L" tableColumnId="8"/>
      <queryTableField id="37" name="Prezzo Benzina" tableColumnId="14"/>
      <queryTableField id="25" name="Latitudine_Partenza" tableColumnId="3"/>
      <queryTableField id="26" name="Longitudine_Partenza" tableColumnId="4"/>
      <queryTableField id="27" name="Latitudine_Arrivo" tableColumnId="5"/>
      <queryTableField id="28" name="Longitudine_Arrivo" tableColumnId="6"/>
      <queryTableField id="29" dataBound="0" tableColumnId="9"/>
      <queryTableField id="30" dataBound="0" tableColumnId="15"/>
    </queryTableFields>
    <queryTableDeletedFields count="2">
      <deletedField name="Travel_Cost"/>
      <deletedField name="Travel_Cos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EF878C4-C788-43AF-9654-8838652ADA7E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Latitudine" tableColumnId="2"/>
      <queryTableField id="3" name="Longitudi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1D28C4-D274-47D8-A5D8-1200C6033610}" name="TBL_VIAGGI" displayName="TBL_VIAGGI" ref="A1:N301" tableType="queryTable" totalsRowShown="0">
  <autoFilter ref="A1:N301" xr:uid="{811D28C4-D274-47D8-A5D8-1200C6033610}"/>
  <tableColumns count="14">
    <tableColumn id="10" xr3:uid="{393A013D-EA8A-4C9C-B486-D7E427D4486F}" uniqueName="10" name="Data" queryTableFieldId="10" dataDxfId="7"/>
    <tableColumn id="2" xr3:uid="{66443223-5B15-40D0-8C5C-4B73D9A02CE3}" uniqueName="2" name="Dipendenti" queryTableFieldId="34" dataDxfId="6"/>
    <tableColumn id="11" xr3:uid="{9A313088-81AC-4510-ADB3-3136D7F22C3B}" uniqueName="11" name="Clienti" queryTableFieldId="11" dataDxfId="5"/>
    <tableColumn id="12" xr3:uid="{2230E3D6-97B6-4944-BBFA-A4DD1A32BAA0}" uniqueName="12" name="Partenza" queryTableFieldId="12" dataDxfId="4"/>
    <tableColumn id="13" xr3:uid="{C4C3D2C8-B73B-46D9-A38D-665537A54BF1}" uniqueName="13" name="Arrivo" queryTableFieldId="13" dataDxfId="3"/>
    <tableColumn id="7" xr3:uid="{9ABA80BB-4D02-4AA3-A239-5E185CA0A9CF}" uniqueName="7" name="Tipologia Macchina" queryTableFieldId="35" dataDxfId="2"/>
    <tableColumn id="8" xr3:uid="{3E3E91FF-5FB5-4DFA-A118-6EBE386C99F4}" uniqueName="8" name="Consumo Macch. Km/L" queryTableFieldId="36"/>
    <tableColumn id="14" xr3:uid="{71775417-078D-4187-99BB-B9757EEC6BF6}" uniqueName="14" name="Prezzo Benzina" queryTableFieldId="37"/>
    <tableColumn id="3" xr3:uid="{95D13C0C-BE26-4C47-9C23-38776438246B}" uniqueName="3" name="Latitudine_Partenza" queryTableFieldId="25"/>
    <tableColumn id="4" xr3:uid="{DFCAFA07-49F4-4BA1-800B-CEC92C9F1117}" uniqueName="4" name="Longitudine_Partenza" queryTableFieldId="26"/>
    <tableColumn id="5" xr3:uid="{B0DA40F5-9500-4B6E-AF86-C1E2985798D7}" uniqueName="5" name="Latitudine_Arrivo" queryTableFieldId="27"/>
    <tableColumn id="6" xr3:uid="{0D3DF8E6-858F-4CCF-917D-7A86A3D66C7E}" uniqueName="6" name="Longitudine_Arrivo" queryTableFieldId="28"/>
    <tableColumn id="9" xr3:uid="{C8BE13E1-A2C8-4047-B209-FABEC8452DE0}" uniqueName="9" name="Km percosi-Linea d'aria" queryTableFieldId="29" dataDxfId="1">
      <calculatedColumnFormula>6371*ACOS(
COS(RADIANS(90-I2))*
COS(RADIANS(90-K2))+
SIN(RADIANS(90-I2))*
SIN(RADIANS(90-K2))*
COS(RADIANS(J2-L2))
)</calculatedColumnFormula>
    </tableColumn>
    <tableColumn id="15" xr3:uid="{078A4A6E-57AA-4B6E-8BB7-7FF2C7B06271}" uniqueName="15" name="Km percorsi effettivi" queryTableFieldId="30" dataDxfId="0">
      <calculatedColumnFormula>TBL_VIAGGI[[#This Row],[Km percosi-Linea d''aria]]*1.25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878B4E-E08C-4478-BE2C-80DBFF89F301}" name="Tabella3" displayName="Tabella3" ref="A1:I301" totalsRowShown="0" headerRowDxfId="17">
  <autoFilter ref="A1:I301" xr:uid="{28878B4E-E08C-4478-BE2C-80DBFF89F301}"/>
  <tableColumns count="9">
    <tableColumn id="1" xr3:uid="{F9B229A9-FF20-48B8-915A-71C9FDDE259B}" name="Date" dataDxfId="16"/>
    <tableColumn id="2" xr3:uid="{A0AF5228-C4A0-496F-97B1-EEA24A606699}" name="Employee"/>
    <tableColumn id="3" xr3:uid="{C1E445BB-8352-47C2-B0E3-1A05B8E91763}" name="Client"/>
    <tableColumn id="4" xr3:uid="{08B7588C-E8C4-46F1-A957-ED01087161CA}" name="Departure"/>
    <tableColumn id="5" xr3:uid="{B70DCC5B-C988-415F-960F-C4E46EDFFB3A}" name="Destination"/>
    <tableColumn id="6" xr3:uid="{597FC3AC-61DE-4FA5-8066-7A8435143887}" name="Car"/>
    <tableColumn id="7" xr3:uid="{F6085B30-9B14-4F39-964E-8F5E05A20BDD}" name="Km_per_Liter"/>
    <tableColumn id="8" xr3:uid="{E6BB7DFA-C822-499F-A3E4-B9D6CDE07B28}" name="Fuel_Price" dataDxfId="15"/>
    <tableColumn id="9" xr3:uid="{751DF643-F07C-4484-8228-518BEFC1690D}" name="Travel_Cos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1D0D8F-A76A-4F63-AB9B-17CD1C6F58BD}" name="TBL_COORDINATE" displayName="TBL_COORDINATE" ref="A1:C9" tableType="queryTable" totalsRowShown="0">
  <autoFilter ref="A1:C9" xr:uid="{FC1D0D8F-A76A-4F63-AB9B-17CD1C6F58BD}"/>
  <tableColumns count="3">
    <tableColumn id="1" xr3:uid="{244A5FA3-8E01-4004-8295-95DF2127312F}" uniqueName="1" name="Città" queryTableFieldId="1" dataDxfId="13"/>
    <tableColumn id="2" xr3:uid="{631B6702-CD49-4513-A71F-D800737B397E}" uniqueName="2" name="Latitudine" queryTableFieldId="2"/>
    <tableColumn id="3" xr3:uid="{E4532D7F-7B5C-4DA2-BAAC-930535B47AB4}" uniqueName="3" name="Longitudin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BE6C35-1079-4AE2-B857-D48FA380D003}" name="Tabella5" displayName="Tabella5" ref="A1:C9" totalsRowShown="0" headerRowDxfId="12" dataDxfId="11">
  <autoFilter ref="A1:C9" xr:uid="{4EBE6C35-1079-4AE2-B857-D48FA380D003}"/>
  <tableColumns count="3">
    <tableColumn id="1" xr3:uid="{CB0F26FB-74E7-4ABB-A9AF-CD02D541F467}" name="Città" dataDxfId="10"/>
    <tableColumn id="2" xr3:uid="{09C7578B-6E3E-4C3E-826B-671BEEF6D7AA}" name="Latitudine" dataDxfId="9"/>
    <tableColumn id="3" xr3:uid="{B0633F40-9472-4384-AE88-686681D72118}" name="Longitudin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4B5C-F635-48FC-8D78-3FF66D01B31E}">
  <dimension ref="A1:R301"/>
  <sheetViews>
    <sheetView tabSelected="1" workbookViewId="0">
      <selection activeCell="O1" sqref="O1:O1048576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4.77734375" bestFit="1" customWidth="1"/>
    <col min="4" max="4" width="10.5546875" bestFit="1" customWidth="1"/>
    <col min="5" max="5" width="8.109375" bestFit="1" customWidth="1"/>
    <col min="6" max="6" width="19.21875" bestFit="1" customWidth="1"/>
    <col min="7" max="7" width="22.21875" bestFit="1" customWidth="1"/>
    <col min="8" max="8" width="15.77734375" style="2" bestFit="1" customWidth="1"/>
    <col min="9" max="9" width="20" style="2" bestFit="1" customWidth="1"/>
    <col min="10" max="10" width="21.21875" style="2" bestFit="1" customWidth="1"/>
    <col min="11" max="11" width="17.44140625" style="2" bestFit="1" customWidth="1"/>
    <col min="12" max="12" width="18.6640625" style="2" bestFit="1" customWidth="1"/>
    <col min="13" max="13" width="23" style="2" bestFit="1" customWidth="1"/>
    <col min="14" max="14" width="20.21875" style="2" bestFit="1" customWidth="1"/>
    <col min="15" max="15" width="17.44140625" style="2" bestFit="1" customWidth="1"/>
    <col min="16" max="16" width="18.6640625" style="2" customWidth="1"/>
    <col min="17" max="17" width="23" bestFit="1" customWidth="1"/>
    <col min="18" max="18" width="20.21875" style="2" bestFit="1" customWidth="1"/>
    <col min="19" max="19" width="17.44140625" bestFit="1" customWidth="1"/>
    <col min="20" max="20" width="11.88671875" bestFit="1" customWidth="1"/>
    <col min="21" max="21" width="12.77734375" bestFit="1" customWidth="1"/>
  </cols>
  <sheetData>
    <row r="1" spans="1:18" x14ac:dyDescent="0.3">
      <c r="A1" t="s">
        <v>35</v>
      </c>
      <c r="B1" t="s">
        <v>45</v>
      </c>
      <c r="C1" t="s">
        <v>36</v>
      </c>
      <c r="D1" t="s">
        <v>37</v>
      </c>
      <c r="E1" t="s">
        <v>38</v>
      </c>
      <c r="F1" t="s">
        <v>46</v>
      </c>
      <c r="G1" t="s">
        <v>47</v>
      </c>
      <c r="H1" t="s">
        <v>48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/>
      <c r="P1"/>
      <c r="R1"/>
    </row>
    <row r="2" spans="1:18" x14ac:dyDescent="0.3">
      <c r="A2" s="1">
        <v>45296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>
        <v>20</v>
      </c>
      <c r="H2">
        <v>1.99</v>
      </c>
      <c r="I2">
        <v>45.438400000000001</v>
      </c>
      <c r="J2">
        <v>10.9916</v>
      </c>
      <c r="K2">
        <v>45.406399999999998</v>
      </c>
      <c r="L2">
        <v>11.876799999999999</v>
      </c>
      <c r="M2" s="7">
        <f t="shared" ref="M2:M65" si="0">6371*ACOS(
COS(RADIANS(90-I2))*
COS(RADIANS(90-K2))+
SIN(RADIANS(90-I2))*
SIN(RADIANS(90-K2))*
COS(RADIANS(J2-L2))
)</f>
        <v>69.17656464510614</v>
      </c>
      <c r="N2" s="7">
        <f>TBL_VIAGGI[[#This Row],[Km percosi-Linea d''aria]]*1.25</f>
        <v>86.470705806382682</v>
      </c>
      <c r="O2"/>
      <c r="P2"/>
      <c r="R2"/>
    </row>
    <row r="3" spans="1:18" x14ac:dyDescent="0.3">
      <c r="A3" s="1">
        <v>45453</v>
      </c>
      <c r="B3" s="7" t="s">
        <v>14</v>
      </c>
      <c r="C3" s="7" t="s">
        <v>24</v>
      </c>
      <c r="D3" s="7" t="s">
        <v>11</v>
      </c>
      <c r="E3" s="7" t="s">
        <v>12</v>
      </c>
      <c r="F3" s="7" t="s">
        <v>25</v>
      </c>
      <c r="G3">
        <v>18</v>
      </c>
      <c r="H3">
        <v>1.9</v>
      </c>
      <c r="I3">
        <v>45.438400000000001</v>
      </c>
      <c r="J3">
        <v>10.9916</v>
      </c>
      <c r="K3">
        <v>45.406399999999998</v>
      </c>
      <c r="L3">
        <v>11.876799999999999</v>
      </c>
      <c r="M3" s="7">
        <f t="shared" si="0"/>
        <v>69.17656464510614</v>
      </c>
      <c r="N3" s="7">
        <f>TBL_VIAGGI[[#This Row],[Km percosi-Linea d''aria]]*1.25</f>
        <v>86.470705806382682</v>
      </c>
      <c r="O3"/>
      <c r="P3"/>
      <c r="R3"/>
    </row>
    <row r="4" spans="1:18" x14ac:dyDescent="0.3">
      <c r="A4" s="1">
        <v>45536</v>
      </c>
      <c r="B4" s="7" t="s">
        <v>14</v>
      </c>
      <c r="C4" s="7" t="s">
        <v>10</v>
      </c>
      <c r="D4" s="7" t="s">
        <v>11</v>
      </c>
      <c r="E4" s="7" t="s">
        <v>12</v>
      </c>
      <c r="F4" s="7" t="s">
        <v>19</v>
      </c>
      <c r="G4">
        <v>14</v>
      </c>
      <c r="H4">
        <v>2.0699999999999998</v>
      </c>
      <c r="I4">
        <v>45.438400000000001</v>
      </c>
      <c r="J4">
        <v>10.9916</v>
      </c>
      <c r="K4">
        <v>45.406399999999998</v>
      </c>
      <c r="L4">
        <v>11.876799999999999</v>
      </c>
      <c r="M4" s="7">
        <f t="shared" si="0"/>
        <v>69.17656464510614</v>
      </c>
      <c r="N4" s="7">
        <f>TBL_VIAGGI[[#This Row],[Km percosi-Linea d''aria]]*1.25</f>
        <v>86.470705806382682</v>
      </c>
      <c r="O4"/>
      <c r="P4"/>
      <c r="R4"/>
    </row>
    <row r="5" spans="1:18" x14ac:dyDescent="0.3">
      <c r="A5" s="1">
        <v>45537</v>
      </c>
      <c r="B5" s="7" t="s">
        <v>14</v>
      </c>
      <c r="C5" s="7" t="s">
        <v>26</v>
      </c>
      <c r="D5" s="7" t="s">
        <v>11</v>
      </c>
      <c r="E5" s="7" t="s">
        <v>12</v>
      </c>
      <c r="F5" s="7" t="s">
        <v>25</v>
      </c>
      <c r="G5">
        <v>18</v>
      </c>
      <c r="H5">
        <v>1.88</v>
      </c>
      <c r="I5">
        <v>45.438400000000001</v>
      </c>
      <c r="J5">
        <v>10.9916</v>
      </c>
      <c r="K5">
        <v>45.406399999999998</v>
      </c>
      <c r="L5">
        <v>11.876799999999999</v>
      </c>
      <c r="M5" s="7">
        <f t="shared" si="0"/>
        <v>69.17656464510614</v>
      </c>
      <c r="N5" s="7">
        <f>TBL_VIAGGI[[#This Row],[Km percosi-Linea d''aria]]*1.25</f>
        <v>86.470705806382682</v>
      </c>
      <c r="O5"/>
      <c r="P5"/>
      <c r="R5"/>
    </row>
    <row r="6" spans="1:18" x14ac:dyDescent="0.3">
      <c r="A6" s="1">
        <v>45308</v>
      </c>
      <c r="B6" s="7" t="s">
        <v>14</v>
      </c>
      <c r="C6" s="7" t="s">
        <v>15</v>
      </c>
      <c r="D6" s="7" t="s">
        <v>11</v>
      </c>
      <c r="E6" s="7" t="s">
        <v>16</v>
      </c>
      <c r="F6" s="7" t="s">
        <v>13</v>
      </c>
      <c r="G6">
        <v>20</v>
      </c>
      <c r="H6">
        <v>1.89</v>
      </c>
      <c r="I6">
        <v>45.438400000000001</v>
      </c>
      <c r="J6">
        <v>10.9916</v>
      </c>
      <c r="K6">
        <v>45.545499999999997</v>
      </c>
      <c r="L6">
        <v>11.535399999999999</v>
      </c>
      <c r="M6" s="7">
        <f t="shared" si="0"/>
        <v>44.029532629220121</v>
      </c>
      <c r="N6" s="7">
        <f>TBL_VIAGGI[[#This Row],[Km percosi-Linea d''aria]]*1.25</f>
        <v>55.036915786525149</v>
      </c>
      <c r="O6"/>
      <c r="P6"/>
      <c r="R6"/>
    </row>
    <row r="7" spans="1:18" x14ac:dyDescent="0.3">
      <c r="A7" s="1">
        <v>45339</v>
      </c>
      <c r="B7" s="7" t="s">
        <v>14</v>
      </c>
      <c r="C7" s="7" t="s">
        <v>17</v>
      </c>
      <c r="D7" s="7" t="s">
        <v>11</v>
      </c>
      <c r="E7" s="7" t="s">
        <v>18</v>
      </c>
      <c r="F7" s="7" t="s">
        <v>19</v>
      </c>
      <c r="G7">
        <v>14</v>
      </c>
      <c r="H7">
        <v>1.76</v>
      </c>
      <c r="I7">
        <v>45.438400000000001</v>
      </c>
      <c r="J7">
        <v>10.9916</v>
      </c>
      <c r="K7">
        <v>45.541600000000003</v>
      </c>
      <c r="L7">
        <v>10.2118</v>
      </c>
      <c r="M7" s="7">
        <f t="shared" si="0"/>
        <v>61.859907199936103</v>
      </c>
      <c r="N7" s="7">
        <f>TBL_VIAGGI[[#This Row],[Km percosi-Linea d''aria]]*1.25</f>
        <v>77.324883999920132</v>
      </c>
      <c r="O7"/>
      <c r="P7"/>
      <c r="R7"/>
    </row>
    <row r="8" spans="1:18" x14ac:dyDescent="0.3">
      <c r="A8" s="1">
        <v>45543</v>
      </c>
      <c r="B8" s="7" t="s">
        <v>9</v>
      </c>
      <c r="C8" s="7" t="s">
        <v>15</v>
      </c>
      <c r="D8" s="7" t="s">
        <v>11</v>
      </c>
      <c r="E8" s="7" t="s">
        <v>20</v>
      </c>
      <c r="F8" s="7" t="s">
        <v>21</v>
      </c>
      <c r="G8">
        <v>16</v>
      </c>
      <c r="H8">
        <v>2.0099999999999998</v>
      </c>
      <c r="I8">
        <v>45.438400000000001</v>
      </c>
      <c r="J8">
        <v>10.9916</v>
      </c>
      <c r="K8">
        <v>45.156399999999998</v>
      </c>
      <c r="L8">
        <v>10.791399999999999</v>
      </c>
      <c r="M8" s="7">
        <f t="shared" si="0"/>
        <v>35.049482425494702</v>
      </c>
      <c r="N8" s="7">
        <f>TBL_VIAGGI[[#This Row],[Km percosi-Linea d''aria]]*1.25</f>
        <v>43.811853031868381</v>
      </c>
      <c r="O8"/>
      <c r="P8"/>
      <c r="R8"/>
    </row>
    <row r="9" spans="1:18" x14ac:dyDescent="0.3">
      <c r="A9" s="1">
        <v>45531</v>
      </c>
      <c r="B9" s="7" t="s">
        <v>22</v>
      </c>
      <c r="C9" s="7" t="s">
        <v>10</v>
      </c>
      <c r="D9" s="7" t="s">
        <v>11</v>
      </c>
      <c r="E9" s="7" t="s">
        <v>20</v>
      </c>
      <c r="F9" s="7" t="s">
        <v>19</v>
      </c>
      <c r="G9">
        <v>14</v>
      </c>
      <c r="H9">
        <v>2.02</v>
      </c>
      <c r="I9">
        <v>45.438400000000001</v>
      </c>
      <c r="J9">
        <v>10.9916</v>
      </c>
      <c r="K9">
        <v>45.156399999999998</v>
      </c>
      <c r="L9">
        <v>10.791399999999999</v>
      </c>
      <c r="M9" s="7">
        <f t="shared" si="0"/>
        <v>35.049482425494702</v>
      </c>
      <c r="N9" s="7">
        <f>TBL_VIAGGI[[#This Row],[Km percosi-Linea d''aria]]*1.25</f>
        <v>43.811853031868381</v>
      </c>
      <c r="O9"/>
      <c r="P9"/>
      <c r="R9"/>
    </row>
    <row r="10" spans="1:18" x14ac:dyDescent="0.3">
      <c r="A10" s="1">
        <v>45309</v>
      </c>
      <c r="B10" s="7" t="s">
        <v>22</v>
      </c>
      <c r="C10" s="7" t="s">
        <v>17</v>
      </c>
      <c r="D10" s="7" t="s">
        <v>11</v>
      </c>
      <c r="E10" s="7" t="s">
        <v>23</v>
      </c>
      <c r="F10" s="7" t="s">
        <v>13</v>
      </c>
      <c r="G10">
        <v>20</v>
      </c>
      <c r="H10">
        <v>1.91</v>
      </c>
      <c r="I10">
        <v>45.438400000000001</v>
      </c>
      <c r="J10">
        <v>10.9916</v>
      </c>
      <c r="K10">
        <v>46.074800000000003</v>
      </c>
      <c r="L10">
        <v>11.121700000000001</v>
      </c>
      <c r="M10" s="7">
        <f t="shared" si="0"/>
        <v>71.480621044461714</v>
      </c>
      <c r="N10" s="7">
        <f>TBL_VIAGGI[[#This Row],[Km percosi-Linea d''aria]]*1.25</f>
        <v>89.350776305577142</v>
      </c>
      <c r="O10"/>
      <c r="P10"/>
      <c r="R10"/>
    </row>
    <row r="11" spans="1:18" x14ac:dyDescent="0.3">
      <c r="A11" s="1">
        <v>45534</v>
      </c>
      <c r="B11" s="7" t="s">
        <v>14</v>
      </c>
      <c r="C11" s="7" t="s">
        <v>24</v>
      </c>
      <c r="D11" s="7" t="s">
        <v>11</v>
      </c>
      <c r="E11" s="7" t="s">
        <v>12</v>
      </c>
      <c r="F11" s="7" t="s">
        <v>21</v>
      </c>
      <c r="G11">
        <v>16</v>
      </c>
      <c r="H11">
        <v>1.78</v>
      </c>
      <c r="I11">
        <v>45.438400000000001</v>
      </c>
      <c r="J11">
        <v>10.9916</v>
      </c>
      <c r="K11">
        <v>45.406399999999998</v>
      </c>
      <c r="L11">
        <v>11.876799999999999</v>
      </c>
      <c r="M11" s="7">
        <f t="shared" si="0"/>
        <v>69.17656464510614</v>
      </c>
      <c r="N11" s="7">
        <f>TBL_VIAGGI[[#This Row],[Km percosi-Linea d''aria]]*1.25</f>
        <v>86.470705806382682</v>
      </c>
      <c r="O11"/>
      <c r="P11"/>
      <c r="R11"/>
    </row>
    <row r="12" spans="1:18" x14ac:dyDescent="0.3">
      <c r="A12" s="1">
        <v>45400</v>
      </c>
      <c r="B12" s="7" t="s">
        <v>14</v>
      </c>
      <c r="C12" s="7" t="s">
        <v>17</v>
      </c>
      <c r="D12" s="7" t="s">
        <v>11</v>
      </c>
      <c r="E12" s="7" t="s">
        <v>16</v>
      </c>
      <c r="F12" s="7" t="s">
        <v>13</v>
      </c>
      <c r="G12">
        <v>20</v>
      </c>
      <c r="H12">
        <v>2.1</v>
      </c>
      <c r="I12">
        <v>45.438400000000001</v>
      </c>
      <c r="J12">
        <v>10.9916</v>
      </c>
      <c r="K12">
        <v>45.545499999999997</v>
      </c>
      <c r="L12">
        <v>11.535399999999999</v>
      </c>
      <c r="M12" s="7">
        <f t="shared" si="0"/>
        <v>44.029532629220121</v>
      </c>
      <c r="N12" s="7">
        <f>TBL_VIAGGI[[#This Row],[Km percosi-Linea d''aria]]*1.25</f>
        <v>55.036915786525149</v>
      </c>
      <c r="O12"/>
      <c r="P12"/>
      <c r="R12"/>
    </row>
    <row r="13" spans="1:18" x14ac:dyDescent="0.3">
      <c r="A13" s="1">
        <v>45550</v>
      </c>
      <c r="B13" s="7" t="s">
        <v>27</v>
      </c>
      <c r="C13" s="7" t="s">
        <v>26</v>
      </c>
      <c r="D13" s="7" t="s">
        <v>11</v>
      </c>
      <c r="E13" s="7" t="s">
        <v>23</v>
      </c>
      <c r="F13" s="7" t="s">
        <v>19</v>
      </c>
      <c r="G13">
        <v>14</v>
      </c>
      <c r="H13">
        <v>1.9</v>
      </c>
      <c r="I13">
        <v>45.438400000000001</v>
      </c>
      <c r="J13">
        <v>10.9916</v>
      </c>
      <c r="K13">
        <v>46.074800000000003</v>
      </c>
      <c r="L13">
        <v>11.121700000000001</v>
      </c>
      <c r="M13" s="7">
        <f t="shared" si="0"/>
        <v>71.480621044461714</v>
      </c>
      <c r="N13" s="7">
        <f>TBL_VIAGGI[[#This Row],[Km percosi-Linea d''aria]]*1.25</f>
        <v>89.350776305577142</v>
      </c>
      <c r="O13"/>
      <c r="P13"/>
      <c r="R13"/>
    </row>
    <row r="14" spans="1:18" x14ac:dyDescent="0.3">
      <c r="A14" s="1">
        <v>45507</v>
      </c>
      <c r="B14" s="7" t="s">
        <v>27</v>
      </c>
      <c r="C14" s="7" t="s">
        <v>15</v>
      </c>
      <c r="D14" s="7" t="s">
        <v>11</v>
      </c>
      <c r="E14" s="7" t="s">
        <v>12</v>
      </c>
      <c r="F14" s="7" t="s">
        <v>13</v>
      </c>
      <c r="G14">
        <v>20</v>
      </c>
      <c r="H14">
        <v>1.89</v>
      </c>
      <c r="I14">
        <v>45.438400000000001</v>
      </c>
      <c r="J14">
        <v>10.9916</v>
      </c>
      <c r="K14">
        <v>45.406399999999998</v>
      </c>
      <c r="L14">
        <v>11.876799999999999</v>
      </c>
      <c r="M14" s="7">
        <f t="shared" si="0"/>
        <v>69.17656464510614</v>
      </c>
      <c r="N14" s="7">
        <f>TBL_VIAGGI[[#This Row],[Km percosi-Linea d''aria]]*1.25</f>
        <v>86.470705806382682</v>
      </c>
      <c r="O14"/>
      <c r="P14"/>
      <c r="R14"/>
    </row>
    <row r="15" spans="1:18" x14ac:dyDescent="0.3">
      <c r="A15" s="1">
        <v>45549</v>
      </c>
      <c r="B15" s="7" t="s">
        <v>28</v>
      </c>
      <c r="C15" s="7" t="s">
        <v>24</v>
      </c>
      <c r="D15" s="7" t="s">
        <v>11</v>
      </c>
      <c r="E15" s="7" t="s">
        <v>12</v>
      </c>
      <c r="F15" s="7" t="s">
        <v>21</v>
      </c>
      <c r="G15">
        <v>16</v>
      </c>
      <c r="H15">
        <v>1.99</v>
      </c>
      <c r="I15">
        <v>45.438400000000001</v>
      </c>
      <c r="J15">
        <v>10.9916</v>
      </c>
      <c r="K15">
        <v>45.406399999999998</v>
      </c>
      <c r="L15">
        <v>11.876799999999999</v>
      </c>
      <c r="M15" s="7">
        <f t="shared" si="0"/>
        <v>69.17656464510614</v>
      </c>
      <c r="N15" s="7">
        <f>TBL_VIAGGI[[#This Row],[Km percosi-Linea d''aria]]*1.25</f>
        <v>86.470705806382682</v>
      </c>
      <c r="O15"/>
      <c r="P15"/>
      <c r="R15"/>
    </row>
    <row r="16" spans="1:18" x14ac:dyDescent="0.3">
      <c r="A16" s="1">
        <v>45567</v>
      </c>
      <c r="B16" s="7" t="s">
        <v>28</v>
      </c>
      <c r="C16" s="7" t="s">
        <v>10</v>
      </c>
      <c r="D16" s="7" t="s">
        <v>11</v>
      </c>
      <c r="E16" s="7" t="s">
        <v>29</v>
      </c>
      <c r="F16" s="7" t="s">
        <v>21</v>
      </c>
      <c r="G16">
        <v>16</v>
      </c>
      <c r="H16">
        <v>1.98</v>
      </c>
      <c r="I16">
        <v>45.438400000000001</v>
      </c>
      <c r="J16">
        <v>10.9916</v>
      </c>
      <c r="K16">
        <v>45.464199999999998</v>
      </c>
      <c r="L16">
        <v>9.19</v>
      </c>
      <c r="M16" s="7">
        <f t="shared" si="0"/>
        <v>140.56002944653866</v>
      </c>
      <c r="N16" s="7">
        <f>TBL_VIAGGI[[#This Row],[Km percosi-Linea d''aria]]*1.25</f>
        <v>175.70003680817334</v>
      </c>
      <c r="O16"/>
      <c r="P16"/>
      <c r="R16"/>
    </row>
    <row r="17" spans="1:18" x14ac:dyDescent="0.3">
      <c r="A17" s="1">
        <v>45371</v>
      </c>
      <c r="B17" s="7" t="s">
        <v>14</v>
      </c>
      <c r="C17" s="7" t="s">
        <v>17</v>
      </c>
      <c r="D17" s="7" t="s">
        <v>11</v>
      </c>
      <c r="E17" s="7" t="s">
        <v>18</v>
      </c>
      <c r="F17" s="7" t="s">
        <v>21</v>
      </c>
      <c r="G17">
        <v>16</v>
      </c>
      <c r="H17">
        <v>2.0099999999999998</v>
      </c>
      <c r="I17">
        <v>45.438400000000001</v>
      </c>
      <c r="J17">
        <v>10.9916</v>
      </c>
      <c r="K17">
        <v>45.541600000000003</v>
      </c>
      <c r="L17">
        <v>10.2118</v>
      </c>
      <c r="M17" s="7">
        <f t="shared" si="0"/>
        <v>61.859907199936103</v>
      </c>
      <c r="N17" s="7">
        <f>TBL_VIAGGI[[#This Row],[Km percosi-Linea d''aria]]*1.25</f>
        <v>77.324883999920132</v>
      </c>
      <c r="O17"/>
      <c r="P17"/>
      <c r="R17"/>
    </row>
    <row r="18" spans="1:18" x14ac:dyDescent="0.3">
      <c r="A18" s="1">
        <v>45569</v>
      </c>
      <c r="B18" s="7" t="s">
        <v>27</v>
      </c>
      <c r="C18" s="7" t="s">
        <v>24</v>
      </c>
      <c r="D18" s="7" t="s">
        <v>11</v>
      </c>
      <c r="E18" s="7" t="s">
        <v>29</v>
      </c>
      <c r="F18" s="7" t="s">
        <v>13</v>
      </c>
      <c r="G18">
        <v>20</v>
      </c>
      <c r="H18">
        <v>1.94</v>
      </c>
      <c r="I18">
        <v>45.438400000000001</v>
      </c>
      <c r="J18">
        <v>10.9916</v>
      </c>
      <c r="K18">
        <v>45.464199999999998</v>
      </c>
      <c r="L18">
        <v>9.19</v>
      </c>
      <c r="M18" s="7">
        <f t="shared" si="0"/>
        <v>140.56002944653866</v>
      </c>
      <c r="N18" s="7">
        <f>TBL_VIAGGI[[#This Row],[Km percosi-Linea d''aria]]*1.25</f>
        <v>175.70003680817334</v>
      </c>
      <c r="O18"/>
      <c r="P18"/>
      <c r="R18"/>
    </row>
    <row r="19" spans="1:18" x14ac:dyDescent="0.3">
      <c r="A19" s="1">
        <v>45529</v>
      </c>
      <c r="B19" s="7" t="s">
        <v>14</v>
      </c>
      <c r="C19" s="7" t="s">
        <v>26</v>
      </c>
      <c r="D19" s="7" t="s">
        <v>11</v>
      </c>
      <c r="E19" s="7" t="s">
        <v>12</v>
      </c>
      <c r="F19" s="7" t="s">
        <v>21</v>
      </c>
      <c r="G19">
        <v>16</v>
      </c>
      <c r="H19">
        <v>2</v>
      </c>
      <c r="I19">
        <v>45.438400000000001</v>
      </c>
      <c r="J19">
        <v>10.9916</v>
      </c>
      <c r="K19">
        <v>45.406399999999998</v>
      </c>
      <c r="L19">
        <v>11.876799999999999</v>
      </c>
      <c r="M19" s="7">
        <f t="shared" si="0"/>
        <v>69.17656464510614</v>
      </c>
      <c r="N19" s="7">
        <f>TBL_VIAGGI[[#This Row],[Km percosi-Linea d''aria]]*1.25</f>
        <v>86.470705806382682</v>
      </c>
      <c r="O19"/>
      <c r="P19"/>
      <c r="R19"/>
    </row>
    <row r="20" spans="1:18" x14ac:dyDescent="0.3">
      <c r="A20" s="1">
        <v>45400</v>
      </c>
      <c r="B20" s="7" t="s">
        <v>14</v>
      </c>
      <c r="C20" s="7" t="s">
        <v>10</v>
      </c>
      <c r="D20" s="7" t="s">
        <v>11</v>
      </c>
      <c r="E20" s="7" t="s">
        <v>30</v>
      </c>
      <c r="F20" s="7" t="s">
        <v>21</v>
      </c>
      <c r="G20">
        <v>16</v>
      </c>
      <c r="H20">
        <v>1.84</v>
      </c>
      <c r="I20">
        <v>45.438400000000001</v>
      </c>
      <c r="J20">
        <v>10.9916</v>
      </c>
      <c r="K20">
        <v>44.494900000000001</v>
      </c>
      <c r="L20">
        <v>11.342599999999999</v>
      </c>
      <c r="M20" s="7">
        <f t="shared" si="0"/>
        <v>108.4853856935753</v>
      </c>
      <c r="N20" s="7">
        <f>TBL_VIAGGI[[#This Row],[Km percosi-Linea d''aria]]*1.25</f>
        <v>135.60673211696911</v>
      </c>
      <c r="O20"/>
      <c r="P20"/>
      <c r="R20"/>
    </row>
    <row r="21" spans="1:18" x14ac:dyDescent="0.3">
      <c r="A21" s="1">
        <v>45397</v>
      </c>
      <c r="B21" s="7" t="s">
        <v>14</v>
      </c>
      <c r="C21" s="7" t="s">
        <v>26</v>
      </c>
      <c r="D21" s="7" t="s">
        <v>11</v>
      </c>
      <c r="E21" s="7" t="s">
        <v>18</v>
      </c>
      <c r="F21" s="7" t="s">
        <v>21</v>
      </c>
      <c r="G21">
        <v>16</v>
      </c>
      <c r="H21">
        <v>1.91</v>
      </c>
      <c r="I21">
        <v>45.438400000000001</v>
      </c>
      <c r="J21">
        <v>10.9916</v>
      </c>
      <c r="K21">
        <v>45.541600000000003</v>
      </c>
      <c r="L21">
        <v>10.2118</v>
      </c>
      <c r="M21" s="7">
        <f t="shared" si="0"/>
        <v>61.859907199936103</v>
      </c>
      <c r="N21" s="7">
        <f>TBL_VIAGGI[[#This Row],[Km percosi-Linea d''aria]]*1.25</f>
        <v>77.324883999920132</v>
      </c>
      <c r="O21"/>
      <c r="P21"/>
      <c r="R21"/>
    </row>
    <row r="22" spans="1:18" x14ac:dyDescent="0.3">
      <c r="A22" s="1">
        <v>45547</v>
      </c>
      <c r="B22" s="7" t="s">
        <v>9</v>
      </c>
      <c r="C22" s="7" t="s">
        <v>15</v>
      </c>
      <c r="D22" s="7" t="s">
        <v>11</v>
      </c>
      <c r="E22" s="7" t="s">
        <v>20</v>
      </c>
      <c r="F22" s="7" t="s">
        <v>25</v>
      </c>
      <c r="G22">
        <v>18</v>
      </c>
      <c r="H22">
        <v>1.98</v>
      </c>
      <c r="I22">
        <v>45.438400000000001</v>
      </c>
      <c r="J22">
        <v>10.9916</v>
      </c>
      <c r="K22">
        <v>45.156399999999998</v>
      </c>
      <c r="L22">
        <v>10.791399999999999</v>
      </c>
      <c r="M22" s="7">
        <f t="shared" si="0"/>
        <v>35.049482425494702</v>
      </c>
      <c r="N22" s="7">
        <f>TBL_VIAGGI[[#This Row],[Km percosi-Linea d''aria]]*1.25</f>
        <v>43.811853031868381</v>
      </c>
      <c r="O22"/>
      <c r="P22"/>
      <c r="R22"/>
    </row>
    <row r="23" spans="1:18" x14ac:dyDescent="0.3">
      <c r="A23" s="1">
        <v>45475</v>
      </c>
      <c r="B23" s="7" t="s">
        <v>27</v>
      </c>
      <c r="C23" s="7" t="s">
        <v>24</v>
      </c>
      <c r="D23" s="7" t="s">
        <v>11</v>
      </c>
      <c r="E23" s="7" t="s">
        <v>12</v>
      </c>
      <c r="F23" s="7" t="s">
        <v>13</v>
      </c>
      <c r="G23">
        <v>20</v>
      </c>
      <c r="H23">
        <v>1.87</v>
      </c>
      <c r="I23">
        <v>45.438400000000001</v>
      </c>
      <c r="J23">
        <v>10.9916</v>
      </c>
      <c r="K23">
        <v>45.406399999999998</v>
      </c>
      <c r="L23">
        <v>11.876799999999999</v>
      </c>
      <c r="M23" s="7">
        <f t="shared" si="0"/>
        <v>69.17656464510614</v>
      </c>
      <c r="N23" s="7">
        <f>TBL_VIAGGI[[#This Row],[Km percosi-Linea d''aria]]*1.25</f>
        <v>86.470705806382682</v>
      </c>
      <c r="O23"/>
      <c r="P23"/>
      <c r="R23"/>
    </row>
    <row r="24" spans="1:18" x14ac:dyDescent="0.3">
      <c r="A24" s="1">
        <v>45402</v>
      </c>
      <c r="B24" s="7" t="s">
        <v>9</v>
      </c>
      <c r="C24" s="7" t="s">
        <v>31</v>
      </c>
      <c r="D24" s="7" t="s">
        <v>11</v>
      </c>
      <c r="E24" s="7" t="s">
        <v>18</v>
      </c>
      <c r="F24" s="7" t="s">
        <v>25</v>
      </c>
      <c r="G24">
        <v>18</v>
      </c>
      <c r="H24">
        <v>2.1</v>
      </c>
      <c r="I24">
        <v>45.438400000000001</v>
      </c>
      <c r="J24">
        <v>10.9916</v>
      </c>
      <c r="K24">
        <v>45.541600000000003</v>
      </c>
      <c r="L24">
        <v>10.2118</v>
      </c>
      <c r="M24" s="7">
        <f t="shared" si="0"/>
        <v>61.859907199936103</v>
      </c>
      <c r="N24" s="7">
        <f>TBL_VIAGGI[[#This Row],[Km percosi-Linea d''aria]]*1.25</f>
        <v>77.324883999920132</v>
      </c>
      <c r="O24"/>
      <c r="P24"/>
      <c r="R24"/>
    </row>
    <row r="25" spans="1:18" x14ac:dyDescent="0.3">
      <c r="A25" s="1">
        <v>45403</v>
      </c>
      <c r="B25" s="7" t="s">
        <v>27</v>
      </c>
      <c r="C25" s="7" t="s">
        <v>26</v>
      </c>
      <c r="D25" s="7" t="s">
        <v>11</v>
      </c>
      <c r="E25" s="7" t="s">
        <v>20</v>
      </c>
      <c r="F25" s="7" t="s">
        <v>13</v>
      </c>
      <c r="G25">
        <v>20</v>
      </c>
      <c r="H25">
        <v>2.0499999999999998</v>
      </c>
      <c r="I25">
        <v>45.438400000000001</v>
      </c>
      <c r="J25">
        <v>10.9916</v>
      </c>
      <c r="K25">
        <v>45.156399999999998</v>
      </c>
      <c r="L25">
        <v>10.791399999999999</v>
      </c>
      <c r="M25" s="7">
        <f t="shared" si="0"/>
        <v>35.049482425494702</v>
      </c>
      <c r="N25" s="7">
        <f>TBL_VIAGGI[[#This Row],[Km percosi-Linea d''aria]]*1.25</f>
        <v>43.811853031868381</v>
      </c>
      <c r="O25"/>
      <c r="P25"/>
      <c r="R25"/>
    </row>
    <row r="26" spans="1:18" x14ac:dyDescent="0.3">
      <c r="A26" s="1">
        <v>45350</v>
      </c>
      <c r="B26" s="7" t="s">
        <v>27</v>
      </c>
      <c r="C26" s="7" t="s">
        <v>26</v>
      </c>
      <c r="D26" s="7" t="s">
        <v>11</v>
      </c>
      <c r="E26" s="7" t="s">
        <v>18</v>
      </c>
      <c r="F26" s="7" t="s">
        <v>19</v>
      </c>
      <c r="G26">
        <v>14</v>
      </c>
      <c r="H26">
        <v>2.0499999999999998</v>
      </c>
      <c r="I26">
        <v>45.438400000000001</v>
      </c>
      <c r="J26">
        <v>10.9916</v>
      </c>
      <c r="K26">
        <v>45.541600000000003</v>
      </c>
      <c r="L26">
        <v>10.2118</v>
      </c>
      <c r="M26" s="7">
        <f t="shared" si="0"/>
        <v>61.859907199936103</v>
      </c>
      <c r="N26" s="7">
        <f>TBL_VIAGGI[[#This Row],[Km percosi-Linea d''aria]]*1.25</f>
        <v>77.324883999920132</v>
      </c>
      <c r="O26"/>
      <c r="P26"/>
      <c r="R26"/>
    </row>
    <row r="27" spans="1:18" x14ac:dyDescent="0.3">
      <c r="A27" s="1">
        <v>45357</v>
      </c>
      <c r="B27" s="7" t="s">
        <v>22</v>
      </c>
      <c r="C27" s="7" t="s">
        <v>15</v>
      </c>
      <c r="D27" s="7" t="s">
        <v>11</v>
      </c>
      <c r="E27" s="7" t="s">
        <v>20</v>
      </c>
      <c r="F27" s="7" t="s">
        <v>25</v>
      </c>
      <c r="G27">
        <v>18</v>
      </c>
      <c r="H27">
        <v>1.84</v>
      </c>
      <c r="I27">
        <v>45.438400000000001</v>
      </c>
      <c r="J27">
        <v>10.9916</v>
      </c>
      <c r="K27">
        <v>45.156399999999998</v>
      </c>
      <c r="L27">
        <v>10.791399999999999</v>
      </c>
      <c r="M27" s="7">
        <f t="shared" si="0"/>
        <v>35.049482425494702</v>
      </c>
      <c r="N27" s="7">
        <f>TBL_VIAGGI[[#This Row],[Km percosi-Linea d''aria]]*1.25</f>
        <v>43.811853031868381</v>
      </c>
      <c r="O27"/>
      <c r="P27"/>
      <c r="R27"/>
    </row>
    <row r="28" spans="1:18" x14ac:dyDescent="0.3">
      <c r="A28" s="1">
        <v>45623</v>
      </c>
      <c r="B28" s="7" t="s">
        <v>9</v>
      </c>
      <c r="C28" s="7" t="s">
        <v>24</v>
      </c>
      <c r="D28" s="7" t="s">
        <v>11</v>
      </c>
      <c r="E28" s="7" t="s">
        <v>29</v>
      </c>
      <c r="F28" s="7" t="s">
        <v>19</v>
      </c>
      <c r="G28">
        <v>14</v>
      </c>
      <c r="H28">
        <v>1.76</v>
      </c>
      <c r="I28">
        <v>45.438400000000001</v>
      </c>
      <c r="J28">
        <v>10.9916</v>
      </c>
      <c r="K28">
        <v>45.464199999999998</v>
      </c>
      <c r="L28">
        <v>9.19</v>
      </c>
      <c r="M28" s="7">
        <f t="shared" si="0"/>
        <v>140.56002944653866</v>
      </c>
      <c r="N28" s="7">
        <f>TBL_VIAGGI[[#This Row],[Km percosi-Linea d''aria]]*1.25</f>
        <v>175.70003680817334</v>
      </c>
      <c r="O28"/>
      <c r="P28"/>
      <c r="R28"/>
    </row>
    <row r="29" spans="1:18" x14ac:dyDescent="0.3">
      <c r="A29" s="1">
        <v>45305</v>
      </c>
      <c r="B29" s="7" t="s">
        <v>9</v>
      </c>
      <c r="C29" s="7" t="s">
        <v>31</v>
      </c>
      <c r="D29" s="7" t="s">
        <v>11</v>
      </c>
      <c r="E29" s="7" t="s">
        <v>18</v>
      </c>
      <c r="F29" s="7" t="s">
        <v>25</v>
      </c>
      <c r="G29">
        <v>18</v>
      </c>
      <c r="H29">
        <v>1.84</v>
      </c>
      <c r="I29">
        <v>45.438400000000001</v>
      </c>
      <c r="J29">
        <v>10.9916</v>
      </c>
      <c r="K29">
        <v>45.541600000000003</v>
      </c>
      <c r="L29">
        <v>10.2118</v>
      </c>
      <c r="M29" s="7">
        <f t="shared" si="0"/>
        <v>61.859907199936103</v>
      </c>
      <c r="N29" s="7">
        <f>TBL_VIAGGI[[#This Row],[Km percosi-Linea d''aria]]*1.25</f>
        <v>77.324883999920132</v>
      </c>
      <c r="O29"/>
      <c r="P29"/>
      <c r="R29"/>
    </row>
    <row r="30" spans="1:18" x14ac:dyDescent="0.3">
      <c r="A30" s="1">
        <v>45328</v>
      </c>
      <c r="B30" s="7" t="s">
        <v>9</v>
      </c>
      <c r="C30" s="7" t="s">
        <v>15</v>
      </c>
      <c r="D30" s="7" t="s">
        <v>11</v>
      </c>
      <c r="E30" s="7" t="s">
        <v>12</v>
      </c>
      <c r="F30" s="7" t="s">
        <v>13</v>
      </c>
      <c r="G30">
        <v>20</v>
      </c>
      <c r="H30">
        <v>1.75</v>
      </c>
      <c r="I30">
        <v>45.438400000000001</v>
      </c>
      <c r="J30">
        <v>10.9916</v>
      </c>
      <c r="K30">
        <v>45.406399999999998</v>
      </c>
      <c r="L30">
        <v>11.876799999999999</v>
      </c>
      <c r="M30" s="7">
        <f t="shared" si="0"/>
        <v>69.17656464510614</v>
      </c>
      <c r="N30" s="7">
        <f>TBL_VIAGGI[[#This Row],[Km percosi-Linea d''aria]]*1.25</f>
        <v>86.470705806382682</v>
      </c>
      <c r="O30"/>
      <c r="P30"/>
      <c r="R30"/>
    </row>
    <row r="31" spans="1:18" x14ac:dyDescent="0.3">
      <c r="A31" s="1">
        <v>45548</v>
      </c>
      <c r="B31" s="7" t="s">
        <v>22</v>
      </c>
      <c r="C31" s="7" t="s">
        <v>24</v>
      </c>
      <c r="D31" s="7" t="s">
        <v>11</v>
      </c>
      <c r="E31" s="7" t="s">
        <v>30</v>
      </c>
      <c r="F31" s="7" t="s">
        <v>19</v>
      </c>
      <c r="G31">
        <v>14</v>
      </c>
      <c r="H31">
        <v>1.82</v>
      </c>
      <c r="I31">
        <v>45.438400000000001</v>
      </c>
      <c r="J31">
        <v>10.9916</v>
      </c>
      <c r="K31">
        <v>44.494900000000001</v>
      </c>
      <c r="L31">
        <v>11.342599999999999</v>
      </c>
      <c r="M31" s="7">
        <f t="shared" si="0"/>
        <v>108.4853856935753</v>
      </c>
      <c r="N31" s="7">
        <f>TBL_VIAGGI[[#This Row],[Km percosi-Linea d''aria]]*1.25</f>
        <v>135.60673211696911</v>
      </c>
      <c r="O31"/>
      <c r="P31"/>
      <c r="R31"/>
    </row>
    <row r="32" spans="1:18" x14ac:dyDescent="0.3">
      <c r="A32" s="1">
        <v>45557</v>
      </c>
      <c r="B32" s="7" t="s">
        <v>22</v>
      </c>
      <c r="C32" s="7" t="s">
        <v>26</v>
      </c>
      <c r="D32" s="7" t="s">
        <v>11</v>
      </c>
      <c r="E32" s="7" t="s">
        <v>12</v>
      </c>
      <c r="F32" s="7" t="s">
        <v>25</v>
      </c>
      <c r="G32">
        <v>18</v>
      </c>
      <c r="H32">
        <v>1.79</v>
      </c>
      <c r="I32">
        <v>45.438400000000001</v>
      </c>
      <c r="J32">
        <v>10.9916</v>
      </c>
      <c r="K32">
        <v>45.406399999999998</v>
      </c>
      <c r="L32">
        <v>11.876799999999999</v>
      </c>
      <c r="M32" s="7">
        <f t="shared" si="0"/>
        <v>69.17656464510614</v>
      </c>
      <c r="N32" s="7">
        <f>TBL_VIAGGI[[#This Row],[Km percosi-Linea d''aria]]*1.25</f>
        <v>86.470705806382682</v>
      </c>
      <c r="O32"/>
      <c r="P32"/>
      <c r="R32"/>
    </row>
    <row r="33" spans="1:18" x14ac:dyDescent="0.3">
      <c r="A33" s="1">
        <v>45585</v>
      </c>
      <c r="B33" s="7" t="s">
        <v>28</v>
      </c>
      <c r="C33" s="7" t="s">
        <v>17</v>
      </c>
      <c r="D33" s="7" t="s">
        <v>11</v>
      </c>
      <c r="E33" s="7" t="s">
        <v>12</v>
      </c>
      <c r="F33" s="7" t="s">
        <v>19</v>
      </c>
      <c r="G33">
        <v>14</v>
      </c>
      <c r="H33">
        <v>1.95</v>
      </c>
      <c r="I33">
        <v>45.438400000000001</v>
      </c>
      <c r="J33">
        <v>10.9916</v>
      </c>
      <c r="K33">
        <v>45.406399999999998</v>
      </c>
      <c r="L33">
        <v>11.876799999999999</v>
      </c>
      <c r="M33" s="7">
        <f t="shared" si="0"/>
        <v>69.17656464510614</v>
      </c>
      <c r="N33" s="7">
        <f>TBL_VIAGGI[[#This Row],[Km percosi-Linea d''aria]]*1.25</f>
        <v>86.470705806382682</v>
      </c>
      <c r="O33"/>
      <c r="P33"/>
      <c r="R33"/>
    </row>
    <row r="34" spans="1:18" x14ac:dyDescent="0.3">
      <c r="A34" s="1">
        <v>45320</v>
      </c>
      <c r="B34" s="7" t="s">
        <v>27</v>
      </c>
      <c r="C34" s="7" t="s">
        <v>31</v>
      </c>
      <c r="D34" s="7" t="s">
        <v>11</v>
      </c>
      <c r="E34" s="7" t="s">
        <v>30</v>
      </c>
      <c r="F34" s="7" t="s">
        <v>19</v>
      </c>
      <c r="G34">
        <v>14</v>
      </c>
      <c r="H34">
        <v>1.79</v>
      </c>
      <c r="I34">
        <v>45.438400000000001</v>
      </c>
      <c r="J34">
        <v>10.9916</v>
      </c>
      <c r="K34">
        <v>44.494900000000001</v>
      </c>
      <c r="L34">
        <v>11.342599999999999</v>
      </c>
      <c r="M34" s="7">
        <f t="shared" si="0"/>
        <v>108.4853856935753</v>
      </c>
      <c r="N34" s="7">
        <f>TBL_VIAGGI[[#This Row],[Km percosi-Linea d''aria]]*1.25</f>
        <v>135.60673211696911</v>
      </c>
      <c r="O34"/>
      <c r="P34"/>
      <c r="R34"/>
    </row>
    <row r="35" spans="1:18" x14ac:dyDescent="0.3">
      <c r="A35" s="1">
        <v>45515</v>
      </c>
      <c r="B35" s="7" t="s">
        <v>28</v>
      </c>
      <c r="C35" s="7" t="s">
        <v>10</v>
      </c>
      <c r="D35" s="7" t="s">
        <v>11</v>
      </c>
      <c r="E35" s="7" t="s">
        <v>12</v>
      </c>
      <c r="F35" s="7" t="s">
        <v>25</v>
      </c>
      <c r="G35">
        <v>18</v>
      </c>
      <c r="H35">
        <v>1.93</v>
      </c>
      <c r="I35">
        <v>45.438400000000001</v>
      </c>
      <c r="J35">
        <v>10.9916</v>
      </c>
      <c r="K35">
        <v>45.406399999999998</v>
      </c>
      <c r="L35">
        <v>11.876799999999999</v>
      </c>
      <c r="M35" s="7">
        <f t="shared" si="0"/>
        <v>69.17656464510614</v>
      </c>
      <c r="N35" s="7">
        <f>TBL_VIAGGI[[#This Row],[Km percosi-Linea d''aria]]*1.25</f>
        <v>86.470705806382682</v>
      </c>
      <c r="O35"/>
      <c r="P35"/>
      <c r="R35"/>
    </row>
    <row r="36" spans="1:18" x14ac:dyDescent="0.3">
      <c r="A36" s="1">
        <v>45313</v>
      </c>
      <c r="B36" s="7" t="s">
        <v>27</v>
      </c>
      <c r="C36" s="7" t="s">
        <v>10</v>
      </c>
      <c r="D36" s="7" t="s">
        <v>11</v>
      </c>
      <c r="E36" s="7" t="s">
        <v>30</v>
      </c>
      <c r="F36" s="7" t="s">
        <v>19</v>
      </c>
      <c r="G36">
        <v>14</v>
      </c>
      <c r="H36">
        <v>1.94</v>
      </c>
      <c r="I36">
        <v>45.438400000000001</v>
      </c>
      <c r="J36">
        <v>10.9916</v>
      </c>
      <c r="K36">
        <v>44.494900000000001</v>
      </c>
      <c r="L36">
        <v>11.342599999999999</v>
      </c>
      <c r="M36" s="7">
        <f t="shared" si="0"/>
        <v>108.4853856935753</v>
      </c>
      <c r="N36" s="7">
        <f>TBL_VIAGGI[[#This Row],[Km percosi-Linea d''aria]]*1.25</f>
        <v>135.60673211696911</v>
      </c>
      <c r="O36"/>
      <c r="P36"/>
      <c r="R36"/>
    </row>
    <row r="37" spans="1:18" x14ac:dyDescent="0.3">
      <c r="A37" s="1">
        <v>45613</v>
      </c>
      <c r="B37" s="7" t="s">
        <v>22</v>
      </c>
      <c r="C37" s="7" t="s">
        <v>31</v>
      </c>
      <c r="D37" s="7" t="s">
        <v>11</v>
      </c>
      <c r="E37" s="7" t="s">
        <v>16</v>
      </c>
      <c r="F37" s="7" t="s">
        <v>13</v>
      </c>
      <c r="G37">
        <v>20</v>
      </c>
      <c r="H37">
        <v>1.97</v>
      </c>
      <c r="I37">
        <v>45.438400000000001</v>
      </c>
      <c r="J37">
        <v>10.9916</v>
      </c>
      <c r="K37">
        <v>45.545499999999997</v>
      </c>
      <c r="L37">
        <v>11.535399999999999</v>
      </c>
      <c r="M37" s="7">
        <f t="shared" si="0"/>
        <v>44.029532629220121</v>
      </c>
      <c r="N37" s="7">
        <f>TBL_VIAGGI[[#This Row],[Km percosi-Linea d''aria]]*1.25</f>
        <v>55.036915786525149</v>
      </c>
      <c r="O37"/>
      <c r="P37"/>
      <c r="R37"/>
    </row>
    <row r="38" spans="1:18" x14ac:dyDescent="0.3">
      <c r="A38" s="1">
        <v>45393</v>
      </c>
      <c r="B38" s="7" t="s">
        <v>9</v>
      </c>
      <c r="C38" s="7" t="s">
        <v>26</v>
      </c>
      <c r="D38" s="7" t="s">
        <v>11</v>
      </c>
      <c r="E38" s="7" t="s">
        <v>29</v>
      </c>
      <c r="F38" s="7" t="s">
        <v>25</v>
      </c>
      <c r="G38">
        <v>18</v>
      </c>
      <c r="H38">
        <v>1.75</v>
      </c>
      <c r="I38">
        <v>45.438400000000001</v>
      </c>
      <c r="J38">
        <v>10.9916</v>
      </c>
      <c r="K38">
        <v>45.464199999999998</v>
      </c>
      <c r="L38">
        <v>9.19</v>
      </c>
      <c r="M38" s="7">
        <f t="shared" si="0"/>
        <v>140.56002944653866</v>
      </c>
      <c r="N38" s="7">
        <f>TBL_VIAGGI[[#This Row],[Km percosi-Linea d''aria]]*1.25</f>
        <v>175.70003680817334</v>
      </c>
      <c r="O38"/>
      <c r="P38"/>
      <c r="R38"/>
    </row>
    <row r="39" spans="1:18" x14ac:dyDescent="0.3">
      <c r="A39" s="1">
        <v>45372</v>
      </c>
      <c r="B39" s="7" t="s">
        <v>14</v>
      </c>
      <c r="C39" s="7" t="s">
        <v>24</v>
      </c>
      <c r="D39" s="7" t="s">
        <v>11</v>
      </c>
      <c r="E39" s="7" t="s">
        <v>16</v>
      </c>
      <c r="F39" s="7" t="s">
        <v>13</v>
      </c>
      <c r="G39">
        <v>20</v>
      </c>
      <c r="H39">
        <v>1.77</v>
      </c>
      <c r="I39">
        <v>45.438400000000001</v>
      </c>
      <c r="J39">
        <v>10.9916</v>
      </c>
      <c r="K39">
        <v>45.545499999999997</v>
      </c>
      <c r="L39">
        <v>11.535399999999999</v>
      </c>
      <c r="M39" s="7">
        <f t="shared" si="0"/>
        <v>44.029532629220121</v>
      </c>
      <c r="N39" s="7">
        <f>TBL_VIAGGI[[#This Row],[Km percosi-Linea d''aria]]*1.25</f>
        <v>55.036915786525149</v>
      </c>
      <c r="O39"/>
      <c r="P39"/>
      <c r="R39"/>
    </row>
    <row r="40" spans="1:18" x14ac:dyDescent="0.3">
      <c r="A40" s="1">
        <v>45407</v>
      </c>
      <c r="B40" s="7" t="s">
        <v>27</v>
      </c>
      <c r="C40" s="7" t="s">
        <v>15</v>
      </c>
      <c r="D40" s="7" t="s">
        <v>11</v>
      </c>
      <c r="E40" s="7" t="s">
        <v>16</v>
      </c>
      <c r="F40" s="7" t="s">
        <v>13</v>
      </c>
      <c r="G40">
        <v>20</v>
      </c>
      <c r="H40">
        <v>1.77</v>
      </c>
      <c r="I40">
        <v>45.438400000000001</v>
      </c>
      <c r="J40">
        <v>10.9916</v>
      </c>
      <c r="K40">
        <v>45.545499999999997</v>
      </c>
      <c r="L40">
        <v>11.535399999999999</v>
      </c>
      <c r="M40" s="7">
        <f t="shared" si="0"/>
        <v>44.029532629220121</v>
      </c>
      <c r="N40" s="7">
        <f>TBL_VIAGGI[[#This Row],[Km percosi-Linea d''aria]]*1.25</f>
        <v>55.036915786525149</v>
      </c>
      <c r="O40"/>
      <c r="P40"/>
      <c r="R40"/>
    </row>
    <row r="41" spans="1:18" x14ac:dyDescent="0.3">
      <c r="A41" s="1">
        <v>45351</v>
      </c>
      <c r="B41" s="7" t="s">
        <v>9</v>
      </c>
      <c r="C41" s="7" t="s">
        <v>26</v>
      </c>
      <c r="D41" s="7" t="s">
        <v>11</v>
      </c>
      <c r="E41" s="7" t="s">
        <v>16</v>
      </c>
      <c r="F41" s="7" t="s">
        <v>25</v>
      </c>
      <c r="G41">
        <v>18</v>
      </c>
      <c r="H41">
        <v>1.85</v>
      </c>
      <c r="I41">
        <v>45.438400000000001</v>
      </c>
      <c r="J41">
        <v>10.9916</v>
      </c>
      <c r="K41">
        <v>45.545499999999997</v>
      </c>
      <c r="L41">
        <v>11.535399999999999</v>
      </c>
      <c r="M41" s="7">
        <f t="shared" si="0"/>
        <v>44.029532629220121</v>
      </c>
      <c r="N41" s="7">
        <f>TBL_VIAGGI[[#This Row],[Km percosi-Linea d''aria]]*1.25</f>
        <v>55.036915786525149</v>
      </c>
      <c r="O41"/>
      <c r="P41"/>
      <c r="R41"/>
    </row>
    <row r="42" spans="1:18" x14ac:dyDescent="0.3">
      <c r="A42" s="1">
        <v>45645</v>
      </c>
      <c r="B42" s="7" t="s">
        <v>14</v>
      </c>
      <c r="C42" s="7" t="s">
        <v>10</v>
      </c>
      <c r="D42" s="7" t="s">
        <v>11</v>
      </c>
      <c r="E42" s="7" t="s">
        <v>16</v>
      </c>
      <c r="F42" s="7" t="s">
        <v>25</v>
      </c>
      <c r="G42">
        <v>18</v>
      </c>
      <c r="H42">
        <v>2.0099999999999998</v>
      </c>
      <c r="I42">
        <v>45.438400000000001</v>
      </c>
      <c r="J42">
        <v>10.9916</v>
      </c>
      <c r="K42">
        <v>45.545499999999997</v>
      </c>
      <c r="L42">
        <v>11.535399999999999</v>
      </c>
      <c r="M42" s="7">
        <f t="shared" si="0"/>
        <v>44.029532629220121</v>
      </c>
      <c r="N42" s="7">
        <f>TBL_VIAGGI[[#This Row],[Km percosi-Linea d''aria]]*1.25</f>
        <v>55.036915786525149</v>
      </c>
      <c r="O42"/>
      <c r="P42"/>
      <c r="R42"/>
    </row>
    <row r="43" spans="1:18" x14ac:dyDescent="0.3">
      <c r="A43" s="1">
        <v>45466</v>
      </c>
      <c r="B43" s="7" t="s">
        <v>9</v>
      </c>
      <c r="C43" s="7" t="s">
        <v>10</v>
      </c>
      <c r="D43" s="7" t="s">
        <v>11</v>
      </c>
      <c r="E43" s="7" t="s">
        <v>30</v>
      </c>
      <c r="F43" s="7" t="s">
        <v>25</v>
      </c>
      <c r="G43">
        <v>18</v>
      </c>
      <c r="H43">
        <v>1.95</v>
      </c>
      <c r="I43">
        <v>45.438400000000001</v>
      </c>
      <c r="J43">
        <v>10.9916</v>
      </c>
      <c r="K43">
        <v>44.494900000000001</v>
      </c>
      <c r="L43">
        <v>11.342599999999999</v>
      </c>
      <c r="M43" s="7">
        <f t="shared" si="0"/>
        <v>108.4853856935753</v>
      </c>
      <c r="N43" s="7">
        <f>TBL_VIAGGI[[#This Row],[Km percosi-Linea d''aria]]*1.25</f>
        <v>135.60673211696911</v>
      </c>
      <c r="O43"/>
      <c r="P43"/>
      <c r="R43"/>
    </row>
    <row r="44" spans="1:18" x14ac:dyDescent="0.3">
      <c r="A44" s="1">
        <v>45329</v>
      </c>
      <c r="B44" s="7" t="s">
        <v>27</v>
      </c>
      <c r="C44" s="7" t="s">
        <v>24</v>
      </c>
      <c r="D44" s="7" t="s">
        <v>11</v>
      </c>
      <c r="E44" s="7" t="s">
        <v>12</v>
      </c>
      <c r="F44" s="7" t="s">
        <v>25</v>
      </c>
      <c r="G44">
        <v>18</v>
      </c>
      <c r="H44">
        <v>1.9</v>
      </c>
      <c r="I44">
        <v>45.438400000000001</v>
      </c>
      <c r="J44">
        <v>10.9916</v>
      </c>
      <c r="K44">
        <v>45.406399999999998</v>
      </c>
      <c r="L44">
        <v>11.876799999999999</v>
      </c>
      <c r="M44" s="7">
        <f t="shared" si="0"/>
        <v>69.17656464510614</v>
      </c>
      <c r="N44" s="7">
        <f>TBL_VIAGGI[[#This Row],[Km percosi-Linea d''aria]]*1.25</f>
        <v>86.470705806382682</v>
      </c>
      <c r="O44"/>
      <c r="P44"/>
      <c r="R44"/>
    </row>
    <row r="45" spans="1:18" x14ac:dyDescent="0.3">
      <c r="A45" s="1">
        <v>45354</v>
      </c>
      <c r="B45" s="7" t="s">
        <v>9</v>
      </c>
      <c r="C45" s="7" t="s">
        <v>10</v>
      </c>
      <c r="D45" s="7" t="s">
        <v>11</v>
      </c>
      <c r="E45" s="7" t="s">
        <v>20</v>
      </c>
      <c r="F45" s="7" t="s">
        <v>19</v>
      </c>
      <c r="G45">
        <v>14</v>
      </c>
      <c r="H45">
        <v>1.85</v>
      </c>
      <c r="I45">
        <v>45.438400000000001</v>
      </c>
      <c r="J45">
        <v>10.9916</v>
      </c>
      <c r="K45">
        <v>45.156399999999998</v>
      </c>
      <c r="L45">
        <v>10.791399999999999</v>
      </c>
      <c r="M45" s="7">
        <f t="shared" si="0"/>
        <v>35.049482425494702</v>
      </c>
      <c r="N45" s="7">
        <f>TBL_VIAGGI[[#This Row],[Km percosi-Linea d''aria]]*1.25</f>
        <v>43.811853031868381</v>
      </c>
      <c r="O45"/>
      <c r="P45"/>
      <c r="R45"/>
    </row>
    <row r="46" spans="1:18" x14ac:dyDescent="0.3">
      <c r="A46" s="1">
        <v>45540</v>
      </c>
      <c r="B46" s="7" t="s">
        <v>14</v>
      </c>
      <c r="C46" s="7" t="s">
        <v>10</v>
      </c>
      <c r="D46" s="7" t="s">
        <v>11</v>
      </c>
      <c r="E46" s="7" t="s">
        <v>12</v>
      </c>
      <c r="F46" s="7" t="s">
        <v>21</v>
      </c>
      <c r="G46">
        <v>16</v>
      </c>
      <c r="H46">
        <v>2.0299999999999998</v>
      </c>
      <c r="I46">
        <v>45.438400000000001</v>
      </c>
      <c r="J46">
        <v>10.9916</v>
      </c>
      <c r="K46">
        <v>45.406399999999998</v>
      </c>
      <c r="L46">
        <v>11.876799999999999</v>
      </c>
      <c r="M46" s="7">
        <f t="shared" si="0"/>
        <v>69.17656464510614</v>
      </c>
      <c r="N46" s="7">
        <f>TBL_VIAGGI[[#This Row],[Km percosi-Linea d''aria]]*1.25</f>
        <v>86.470705806382682</v>
      </c>
      <c r="O46"/>
      <c r="P46"/>
      <c r="R46"/>
    </row>
    <row r="47" spans="1:18" x14ac:dyDescent="0.3">
      <c r="A47" s="1">
        <v>45310</v>
      </c>
      <c r="B47" s="7" t="s">
        <v>14</v>
      </c>
      <c r="C47" s="7" t="s">
        <v>24</v>
      </c>
      <c r="D47" s="7" t="s">
        <v>11</v>
      </c>
      <c r="E47" s="7" t="s">
        <v>30</v>
      </c>
      <c r="F47" s="7" t="s">
        <v>21</v>
      </c>
      <c r="G47">
        <v>16</v>
      </c>
      <c r="H47">
        <v>1.98</v>
      </c>
      <c r="I47">
        <v>45.438400000000001</v>
      </c>
      <c r="J47">
        <v>10.9916</v>
      </c>
      <c r="K47">
        <v>44.494900000000001</v>
      </c>
      <c r="L47">
        <v>11.342599999999999</v>
      </c>
      <c r="M47" s="7">
        <f t="shared" si="0"/>
        <v>108.4853856935753</v>
      </c>
      <c r="N47" s="7">
        <f>TBL_VIAGGI[[#This Row],[Km percosi-Linea d''aria]]*1.25</f>
        <v>135.60673211696911</v>
      </c>
      <c r="O47"/>
      <c r="P47"/>
      <c r="R47"/>
    </row>
    <row r="48" spans="1:18" x14ac:dyDescent="0.3">
      <c r="A48" s="1">
        <v>45348</v>
      </c>
      <c r="B48" s="7" t="s">
        <v>22</v>
      </c>
      <c r="C48" s="7" t="s">
        <v>15</v>
      </c>
      <c r="D48" s="7" t="s">
        <v>11</v>
      </c>
      <c r="E48" s="7" t="s">
        <v>30</v>
      </c>
      <c r="F48" s="7" t="s">
        <v>19</v>
      </c>
      <c r="G48">
        <v>14</v>
      </c>
      <c r="H48">
        <v>1.97</v>
      </c>
      <c r="I48">
        <v>45.438400000000001</v>
      </c>
      <c r="J48">
        <v>10.9916</v>
      </c>
      <c r="K48">
        <v>44.494900000000001</v>
      </c>
      <c r="L48">
        <v>11.342599999999999</v>
      </c>
      <c r="M48" s="7">
        <f t="shared" si="0"/>
        <v>108.4853856935753</v>
      </c>
      <c r="N48" s="7">
        <f>TBL_VIAGGI[[#This Row],[Km percosi-Linea d''aria]]*1.25</f>
        <v>135.60673211696911</v>
      </c>
      <c r="O48"/>
      <c r="P48"/>
      <c r="R48"/>
    </row>
    <row r="49" spans="1:18" x14ac:dyDescent="0.3">
      <c r="A49" s="1">
        <v>45370</v>
      </c>
      <c r="B49" s="7" t="s">
        <v>9</v>
      </c>
      <c r="C49" s="7" t="s">
        <v>10</v>
      </c>
      <c r="D49" s="7" t="s">
        <v>11</v>
      </c>
      <c r="E49" s="7" t="s">
        <v>12</v>
      </c>
      <c r="F49" s="7" t="s">
        <v>21</v>
      </c>
      <c r="G49">
        <v>16</v>
      </c>
      <c r="H49">
        <v>2.09</v>
      </c>
      <c r="I49">
        <v>45.438400000000001</v>
      </c>
      <c r="J49">
        <v>10.9916</v>
      </c>
      <c r="K49">
        <v>45.406399999999998</v>
      </c>
      <c r="L49">
        <v>11.876799999999999</v>
      </c>
      <c r="M49" s="7">
        <f t="shared" si="0"/>
        <v>69.17656464510614</v>
      </c>
      <c r="N49" s="7">
        <f>TBL_VIAGGI[[#This Row],[Km percosi-Linea d''aria]]*1.25</f>
        <v>86.470705806382682</v>
      </c>
      <c r="O49"/>
      <c r="P49"/>
      <c r="R49"/>
    </row>
    <row r="50" spans="1:18" x14ac:dyDescent="0.3">
      <c r="A50" s="1">
        <v>45493</v>
      </c>
      <c r="B50" s="7" t="s">
        <v>9</v>
      </c>
      <c r="C50" s="7" t="s">
        <v>15</v>
      </c>
      <c r="D50" s="7" t="s">
        <v>11</v>
      </c>
      <c r="E50" s="7" t="s">
        <v>16</v>
      </c>
      <c r="F50" s="7" t="s">
        <v>25</v>
      </c>
      <c r="G50">
        <v>18</v>
      </c>
      <c r="H50">
        <v>2.0499999999999998</v>
      </c>
      <c r="I50">
        <v>45.438400000000001</v>
      </c>
      <c r="J50">
        <v>10.9916</v>
      </c>
      <c r="K50">
        <v>45.545499999999997</v>
      </c>
      <c r="L50">
        <v>11.535399999999999</v>
      </c>
      <c r="M50" s="7">
        <f t="shared" si="0"/>
        <v>44.029532629220121</v>
      </c>
      <c r="N50" s="7">
        <f>TBL_VIAGGI[[#This Row],[Km percosi-Linea d''aria]]*1.25</f>
        <v>55.036915786525149</v>
      </c>
      <c r="O50"/>
      <c r="P50"/>
      <c r="R50"/>
    </row>
    <row r="51" spans="1:18" x14ac:dyDescent="0.3">
      <c r="A51" s="1">
        <v>45559</v>
      </c>
      <c r="B51" s="7" t="s">
        <v>14</v>
      </c>
      <c r="C51" s="7" t="s">
        <v>17</v>
      </c>
      <c r="D51" s="7" t="s">
        <v>11</v>
      </c>
      <c r="E51" s="7" t="s">
        <v>12</v>
      </c>
      <c r="F51" s="7" t="s">
        <v>19</v>
      </c>
      <c r="G51">
        <v>14</v>
      </c>
      <c r="H51">
        <v>2.0099999999999998</v>
      </c>
      <c r="I51">
        <v>45.438400000000001</v>
      </c>
      <c r="J51">
        <v>10.9916</v>
      </c>
      <c r="K51">
        <v>45.406399999999998</v>
      </c>
      <c r="L51">
        <v>11.876799999999999</v>
      </c>
      <c r="M51" s="7">
        <f t="shared" si="0"/>
        <v>69.17656464510614</v>
      </c>
      <c r="N51" s="7">
        <f>TBL_VIAGGI[[#This Row],[Km percosi-Linea d''aria]]*1.25</f>
        <v>86.470705806382682</v>
      </c>
      <c r="O51"/>
      <c r="P51"/>
      <c r="R51"/>
    </row>
    <row r="52" spans="1:18" x14ac:dyDescent="0.3">
      <c r="A52" s="1">
        <v>45524</v>
      </c>
      <c r="B52" s="7" t="s">
        <v>9</v>
      </c>
      <c r="C52" s="7" t="s">
        <v>15</v>
      </c>
      <c r="D52" s="7" t="s">
        <v>11</v>
      </c>
      <c r="E52" s="7" t="s">
        <v>30</v>
      </c>
      <c r="F52" s="7" t="s">
        <v>19</v>
      </c>
      <c r="G52">
        <v>14</v>
      </c>
      <c r="H52">
        <v>1.91</v>
      </c>
      <c r="I52">
        <v>45.438400000000001</v>
      </c>
      <c r="J52">
        <v>10.9916</v>
      </c>
      <c r="K52">
        <v>44.494900000000001</v>
      </c>
      <c r="L52">
        <v>11.342599999999999</v>
      </c>
      <c r="M52" s="7">
        <f t="shared" si="0"/>
        <v>108.4853856935753</v>
      </c>
      <c r="N52" s="7">
        <f>TBL_VIAGGI[[#This Row],[Km percosi-Linea d''aria]]*1.25</f>
        <v>135.60673211696911</v>
      </c>
      <c r="O52"/>
      <c r="P52"/>
      <c r="R52"/>
    </row>
    <row r="53" spans="1:18" x14ac:dyDescent="0.3">
      <c r="A53" s="1">
        <v>45498</v>
      </c>
      <c r="B53" s="7" t="s">
        <v>22</v>
      </c>
      <c r="C53" s="7" t="s">
        <v>15</v>
      </c>
      <c r="D53" s="7" t="s">
        <v>11</v>
      </c>
      <c r="E53" s="7" t="s">
        <v>29</v>
      </c>
      <c r="F53" s="7" t="s">
        <v>19</v>
      </c>
      <c r="G53">
        <v>14</v>
      </c>
      <c r="H53">
        <v>1.99</v>
      </c>
      <c r="I53">
        <v>45.438400000000001</v>
      </c>
      <c r="J53">
        <v>10.9916</v>
      </c>
      <c r="K53">
        <v>45.464199999999998</v>
      </c>
      <c r="L53">
        <v>9.19</v>
      </c>
      <c r="M53" s="7">
        <f t="shared" si="0"/>
        <v>140.56002944653866</v>
      </c>
      <c r="N53" s="7">
        <f>TBL_VIAGGI[[#This Row],[Km percosi-Linea d''aria]]*1.25</f>
        <v>175.70003680817334</v>
      </c>
      <c r="O53"/>
      <c r="P53"/>
      <c r="R53"/>
    </row>
    <row r="54" spans="1:18" x14ac:dyDescent="0.3">
      <c r="A54" s="1">
        <v>45505</v>
      </c>
      <c r="B54" s="7" t="s">
        <v>9</v>
      </c>
      <c r="C54" s="7" t="s">
        <v>15</v>
      </c>
      <c r="D54" s="7" t="s">
        <v>11</v>
      </c>
      <c r="E54" s="7" t="s">
        <v>20</v>
      </c>
      <c r="F54" s="7" t="s">
        <v>25</v>
      </c>
      <c r="G54">
        <v>18</v>
      </c>
      <c r="H54">
        <v>1.92</v>
      </c>
      <c r="I54">
        <v>45.438400000000001</v>
      </c>
      <c r="J54">
        <v>10.9916</v>
      </c>
      <c r="K54">
        <v>45.156399999999998</v>
      </c>
      <c r="L54">
        <v>10.791399999999999</v>
      </c>
      <c r="M54" s="7">
        <f t="shared" si="0"/>
        <v>35.049482425494702</v>
      </c>
      <c r="N54" s="7">
        <f>TBL_VIAGGI[[#This Row],[Km percosi-Linea d''aria]]*1.25</f>
        <v>43.811853031868381</v>
      </c>
      <c r="O54"/>
      <c r="P54"/>
      <c r="R54"/>
    </row>
    <row r="55" spans="1:18" x14ac:dyDescent="0.3">
      <c r="A55" s="1">
        <v>45387</v>
      </c>
      <c r="B55" s="7" t="s">
        <v>27</v>
      </c>
      <c r="C55" s="7" t="s">
        <v>26</v>
      </c>
      <c r="D55" s="7" t="s">
        <v>11</v>
      </c>
      <c r="E55" s="7" t="s">
        <v>23</v>
      </c>
      <c r="F55" s="7" t="s">
        <v>19</v>
      </c>
      <c r="G55">
        <v>14</v>
      </c>
      <c r="H55">
        <v>2.02</v>
      </c>
      <c r="I55">
        <v>45.438400000000001</v>
      </c>
      <c r="J55">
        <v>10.9916</v>
      </c>
      <c r="K55">
        <v>46.074800000000003</v>
      </c>
      <c r="L55">
        <v>11.121700000000001</v>
      </c>
      <c r="M55" s="7">
        <f t="shared" si="0"/>
        <v>71.480621044461714</v>
      </c>
      <c r="N55" s="7">
        <f>TBL_VIAGGI[[#This Row],[Km percosi-Linea d''aria]]*1.25</f>
        <v>89.350776305577142</v>
      </c>
      <c r="O55"/>
      <c r="P55"/>
      <c r="R55"/>
    </row>
    <row r="56" spans="1:18" x14ac:dyDescent="0.3">
      <c r="A56" s="1">
        <v>45525</v>
      </c>
      <c r="B56" s="7" t="s">
        <v>14</v>
      </c>
      <c r="C56" s="7" t="s">
        <v>24</v>
      </c>
      <c r="D56" s="7" t="s">
        <v>11</v>
      </c>
      <c r="E56" s="7" t="s">
        <v>29</v>
      </c>
      <c r="F56" s="7" t="s">
        <v>13</v>
      </c>
      <c r="G56">
        <v>20</v>
      </c>
      <c r="H56">
        <v>1.98</v>
      </c>
      <c r="I56">
        <v>45.438400000000001</v>
      </c>
      <c r="J56">
        <v>10.9916</v>
      </c>
      <c r="K56">
        <v>45.464199999999998</v>
      </c>
      <c r="L56">
        <v>9.19</v>
      </c>
      <c r="M56" s="7">
        <f t="shared" si="0"/>
        <v>140.56002944653866</v>
      </c>
      <c r="N56" s="7">
        <f>TBL_VIAGGI[[#This Row],[Km percosi-Linea d''aria]]*1.25</f>
        <v>175.70003680817334</v>
      </c>
      <c r="O56"/>
      <c r="P56"/>
      <c r="R56"/>
    </row>
    <row r="57" spans="1:18" x14ac:dyDescent="0.3">
      <c r="A57" s="1">
        <v>45303</v>
      </c>
      <c r="B57" s="7" t="s">
        <v>9</v>
      </c>
      <c r="C57" s="7" t="s">
        <v>31</v>
      </c>
      <c r="D57" s="7" t="s">
        <v>11</v>
      </c>
      <c r="E57" s="7" t="s">
        <v>29</v>
      </c>
      <c r="F57" s="7" t="s">
        <v>25</v>
      </c>
      <c r="G57">
        <v>18</v>
      </c>
      <c r="H57">
        <v>2.0699999999999998</v>
      </c>
      <c r="I57">
        <v>45.438400000000001</v>
      </c>
      <c r="J57">
        <v>10.9916</v>
      </c>
      <c r="K57">
        <v>45.464199999999998</v>
      </c>
      <c r="L57">
        <v>9.19</v>
      </c>
      <c r="M57" s="7">
        <f t="shared" si="0"/>
        <v>140.56002944653866</v>
      </c>
      <c r="N57" s="7">
        <f>TBL_VIAGGI[[#This Row],[Km percosi-Linea d''aria]]*1.25</f>
        <v>175.70003680817334</v>
      </c>
      <c r="O57"/>
      <c r="P57"/>
      <c r="R57"/>
    </row>
    <row r="58" spans="1:18" x14ac:dyDescent="0.3">
      <c r="A58" s="1">
        <v>45546</v>
      </c>
      <c r="B58" s="7" t="s">
        <v>28</v>
      </c>
      <c r="C58" s="7" t="s">
        <v>10</v>
      </c>
      <c r="D58" s="7" t="s">
        <v>11</v>
      </c>
      <c r="E58" s="7" t="s">
        <v>20</v>
      </c>
      <c r="F58" s="7" t="s">
        <v>21</v>
      </c>
      <c r="G58">
        <v>16</v>
      </c>
      <c r="H58">
        <v>1.79</v>
      </c>
      <c r="I58">
        <v>45.438400000000001</v>
      </c>
      <c r="J58">
        <v>10.9916</v>
      </c>
      <c r="K58">
        <v>45.156399999999998</v>
      </c>
      <c r="L58">
        <v>10.791399999999999</v>
      </c>
      <c r="M58" s="7">
        <f t="shared" si="0"/>
        <v>35.049482425494702</v>
      </c>
      <c r="N58" s="7">
        <f>TBL_VIAGGI[[#This Row],[Km percosi-Linea d''aria]]*1.25</f>
        <v>43.811853031868381</v>
      </c>
      <c r="O58"/>
      <c r="P58"/>
      <c r="R58"/>
    </row>
    <row r="59" spans="1:18" x14ac:dyDescent="0.3">
      <c r="A59" s="1">
        <v>45552</v>
      </c>
      <c r="B59" s="7" t="s">
        <v>22</v>
      </c>
      <c r="C59" s="7" t="s">
        <v>31</v>
      </c>
      <c r="D59" s="7" t="s">
        <v>11</v>
      </c>
      <c r="E59" s="7" t="s">
        <v>23</v>
      </c>
      <c r="F59" s="7" t="s">
        <v>19</v>
      </c>
      <c r="G59">
        <v>14</v>
      </c>
      <c r="H59">
        <v>1.96</v>
      </c>
      <c r="I59">
        <v>45.438400000000001</v>
      </c>
      <c r="J59">
        <v>10.9916</v>
      </c>
      <c r="K59">
        <v>46.074800000000003</v>
      </c>
      <c r="L59">
        <v>11.121700000000001</v>
      </c>
      <c r="M59" s="7">
        <f t="shared" si="0"/>
        <v>71.480621044461714</v>
      </c>
      <c r="N59" s="7">
        <f>TBL_VIAGGI[[#This Row],[Km percosi-Linea d''aria]]*1.25</f>
        <v>89.350776305577142</v>
      </c>
      <c r="O59"/>
      <c r="P59"/>
      <c r="R59"/>
    </row>
    <row r="60" spans="1:18" x14ac:dyDescent="0.3">
      <c r="A60" s="1">
        <v>45632</v>
      </c>
      <c r="B60" s="7" t="s">
        <v>14</v>
      </c>
      <c r="C60" s="7" t="s">
        <v>10</v>
      </c>
      <c r="D60" s="7" t="s">
        <v>11</v>
      </c>
      <c r="E60" s="7" t="s">
        <v>30</v>
      </c>
      <c r="F60" s="7" t="s">
        <v>25</v>
      </c>
      <c r="G60">
        <v>18</v>
      </c>
      <c r="H60">
        <v>1.77</v>
      </c>
      <c r="I60">
        <v>45.438400000000001</v>
      </c>
      <c r="J60">
        <v>10.9916</v>
      </c>
      <c r="K60">
        <v>44.494900000000001</v>
      </c>
      <c r="L60">
        <v>11.342599999999999</v>
      </c>
      <c r="M60" s="7">
        <f t="shared" si="0"/>
        <v>108.4853856935753</v>
      </c>
      <c r="N60" s="7">
        <f>TBL_VIAGGI[[#This Row],[Km percosi-Linea d''aria]]*1.25</f>
        <v>135.60673211696911</v>
      </c>
      <c r="O60"/>
      <c r="P60"/>
      <c r="R60"/>
    </row>
    <row r="61" spans="1:18" x14ac:dyDescent="0.3">
      <c r="A61" s="1">
        <v>45570</v>
      </c>
      <c r="B61" s="7" t="s">
        <v>27</v>
      </c>
      <c r="C61" s="7" t="s">
        <v>15</v>
      </c>
      <c r="D61" s="7" t="s">
        <v>11</v>
      </c>
      <c r="E61" s="7" t="s">
        <v>29</v>
      </c>
      <c r="F61" s="7" t="s">
        <v>19</v>
      </c>
      <c r="G61">
        <v>14</v>
      </c>
      <c r="H61">
        <v>2.0499999999999998</v>
      </c>
      <c r="I61">
        <v>45.438400000000001</v>
      </c>
      <c r="J61">
        <v>10.9916</v>
      </c>
      <c r="K61">
        <v>45.464199999999998</v>
      </c>
      <c r="L61">
        <v>9.19</v>
      </c>
      <c r="M61" s="7">
        <f t="shared" si="0"/>
        <v>140.56002944653866</v>
      </c>
      <c r="N61" s="7">
        <f>TBL_VIAGGI[[#This Row],[Km percosi-Linea d''aria]]*1.25</f>
        <v>175.70003680817334</v>
      </c>
      <c r="O61"/>
      <c r="P61"/>
      <c r="R61"/>
    </row>
    <row r="62" spans="1:18" x14ac:dyDescent="0.3">
      <c r="A62" s="1">
        <v>45467</v>
      </c>
      <c r="B62" s="7" t="s">
        <v>28</v>
      </c>
      <c r="C62" s="7" t="s">
        <v>10</v>
      </c>
      <c r="D62" s="7" t="s">
        <v>11</v>
      </c>
      <c r="E62" s="7" t="s">
        <v>20</v>
      </c>
      <c r="F62" s="7" t="s">
        <v>19</v>
      </c>
      <c r="G62">
        <v>14</v>
      </c>
      <c r="H62">
        <v>1.91</v>
      </c>
      <c r="I62">
        <v>45.438400000000001</v>
      </c>
      <c r="J62">
        <v>10.9916</v>
      </c>
      <c r="K62">
        <v>45.156399999999998</v>
      </c>
      <c r="L62">
        <v>10.791399999999999</v>
      </c>
      <c r="M62" s="7">
        <f t="shared" si="0"/>
        <v>35.049482425494702</v>
      </c>
      <c r="N62" s="7">
        <f>TBL_VIAGGI[[#This Row],[Km percosi-Linea d''aria]]*1.25</f>
        <v>43.811853031868381</v>
      </c>
      <c r="O62"/>
      <c r="P62"/>
      <c r="R62"/>
    </row>
    <row r="63" spans="1:18" x14ac:dyDescent="0.3">
      <c r="A63" s="1">
        <v>45650</v>
      </c>
      <c r="B63" s="7" t="s">
        <v>9</v>
      </c>
      <c r="C63" s="7" t="s">
        <v>31</v>
      </c>
      <c r="D63" s="7" t="s">
        <v>11</v>
      </c>
      <c r="E63" s="7" t="s">
        <v>20</v>
      </c>
      <c r="F63" s="7" t="s">
        <v>13</v>
      </c>
      <c r="G63">
        <v>20</v>
      </c>
      <c r="H63">
        <v>2.0699999999999998</v>
      </c>
      <c r="I63">
        <v>45.438400000000001</v>
      </c>
      <c r="J63">
        <v>10.9916</v>
      </c>
      <c r="K63">
        <v>45.156399999999998</v>
      </c>
      <c r="L63">
        <v>10.791399999999999</v>
      </c>
      <c r="M63" s="7">
        <f t="shared" si="0"/>
        <v>35.049482425494702</v>
      </c>
      <c r="N63" s="7">
        <f>TBL_VIAGGI[[#This Row],[Km percosi-Linea d''aria]]*1.25</f>
        <v>43.811853031868381</v>
      </c>
      <c r="O63"/>
      <c r="P63"/>
      <c r="R63"/>
    </row>
    <row r="64" spans="1:18" x14ac:dyDescent="0.3">
      <c r="A64" s="1">
        <v>45628</v>
      </c>
      <c r="B64" s="7" t="s">
        <v>22</v>
      </c>
      <c r="C64" s="7" t="s">
        <v>31</v>
      </c>
      <c r="D64" s="7" t="s">
        <v>11</v>
      </c>
      <c r="E64" s="7" t="s">
        <v>12</v>
      </c>
      <c r="F64" s="7" t="s">
        <v>25</v>
      </c>
      <c r="G64">
        <v>18</v>
      </c>
      <c r="H64">
        <v>1.96</v>
      </c>
      <c r="I64">
        <v>45.438400000000001</v>
      </c>
      <c r="J64">
        <v>10.9916</v>
      </c>
      <c r="K64">
        <v>45.406399999999998</v>
      </c>
      <c r="L64">
        <v>11.876799999999999</v>
      </c>
      <c r="M64" s="7">
        <f t="shared" si="0"/>
        <v>69.17656464510614</v>
      </c>
      <c r="N64" s="7">
        <f>TBL_VIAGGI[[#This Row],[Km percosi-Linea d''aria]]*1.25</f>
        <v>86.470705806382682</v>
      </c>
      <c r="O64"/>
      <c r="P64"/>
      <c r="R64"/>
    </row>
    <row r="65" spans="1:18" x14ac:dyDescent="0.3">
      <c r="A65" s="1">
        <v>45618</v>
      </c>
      <c r="B65" s="7" t="s">
        <v>14</v>
      </c>
      <c r="C65" s="7" t="s">
        <v>17</v>
      </c>
      <c r="D65" s="7" t="s">
        <v>11</v>
      </c>
      <c r="E65" s="7" t="s">
        <v>30</v>
      </c>
      <c r="F65" s="7" t="s">
        <v>25</v>
      </c>
      <c r="G65">
        <v>18</v>
      </c>
      <c r="H65">
        <v>1.91</v>
      </c>
      <c r="I65">
        <v>45.438400000000001</v>
      </c>
      <c r="J65">
        <v>10.9916</v>
      </c>
      <c r="K65">
        <v>44.494900000000001</v>
      </c>
      <c r="L65">
        <v>11.342599999999999</v>
      </c>
      <c r="M65" s="7">
        <f t="shared" si="0"/>
        <v>108.4853856935753</v>
      </c>
      <c r="N65" s="7">
        <f>TBL_VIAGGI[[#This Row],[Km percosi-Linea d''aria]]*1.25</f>
        <v>135.60673211696911</v>
      </c>
      <c r="O65"/>
      <c r="P65"/>
      <c r="R65"/>
    </row>
    <row r="66" spans="1:18" x14ac:dyDescent="0.3">
      <c r="A66" s="1">
        <v>45600</v>
      </c>
      <c r="B66" s="7" t="s">
        <v>28</v>
      </c>
      <c r="C66" s="7" t="s">
        <v>17</v>
      </c>
      <c r="D66" s="7" t="s">
        <v>11</v>
      </c>
      <c r="E66" s="7" t="s">
        <v>18</v>
      </c>
      <c r="F66" s="7" t="s">
        <v>21</v>
      </c>
      <c r="G66">
        <v>16</v>
      </c>
      <c r="H66">
        <v>2.0099999999999998</v>
      </c>
      <c r="I66">
        <v>45.438400000000001</v>
      </c>
      <c r="J66">
        <v>10.9916</v>
      </c>
      <c r="K66">
        <v>45.541600000000003</v>
      </c>
      <c r="L66">
        <v>10.2118</v>
      </c>
      <c r="M66" s="7">
        <f t="shared" ref="M66:M129" si="1">6371*ACOS(
COS(RADIANS(90-I66))*
COS(RADIANS(90-K66))+
SIN(RADIANS(90-I66))*
SIN(RADIANS(90-K66))*
COS(RADIANS(J66-L66))
)</f>
        <v>61.859907199936103</v>
      </c>
      <c r="N66" s="7">
        <f>TBL_VIAGGI[[#This Row],[Km percosi-Linea d''aria]]*1.25</f>
        <v>77.324883999920132</v>
      </c>
      <c r="O66"/>
      <c r="P66"/>
      <c r="R66"/>
    </row>
    <row r="67" spans="1:18" x14ac:dyDescent="0.3">
      <c r="A67" s="1">
        <v>45391</v>
      </c>
      <c r="B67" s="7" t="s">
        <v>14</v>
      </c>
      <c r="C67" s="7" t="s">
        <v>31</v>
      </c>
      <c r="D67" s="7" t="s">
        <v>11</v>
      </c>
      <c r="E67" s="7" t="s">
        <v>12</v>
      </c>
      <c r="F67" s="7" t="s">
        <v>13</v>
      </c>
      <c r="G67">
        <v>20</v>
      </c>
      <c r="H67">
        <v>1.96</v>
      </c>
      <c r="I67">
        <v>45.438400000000001</v>
      </c>
      <c r="J67">
        <v>10.9916</v>
      </c>
      <c r="K67">
        <v>45.406399999999998</v>
      </c>
      <c r="L67">
        <v>11.876799999999999</v>
      </c>
      <c r="M67" s="7">
        <f t="shared" si="1"/>
        <v>69.17656464510614</v>
      </c>
      <c r="N67" s="7">
        <f>TBL_VIAGGI[[#This Row],[Km percosi-Linea d''aria]]*1.25</f>
        <v>86.470705806382682</v>
      </c>
      <c r="O67"/>
      <c r="P67"/>
      <c r="R67"/>
    </row>
    <row r="68" spans="1:18" x14ac:dyDescent="0.3">
      <c r="A68" s="1">
        <v>45420</v>
      </c>
      <c r="B68" s="7" t="s">
        <v>14</v>
      </c>
      <c r="C68" s="7" t="s">
        <v>17</v>
      </c>
      <c r="D68" s="7" t="s">
        <v>11</v>
      </c>
      <c r="E68" s="7" t="s">
        <v>30</v>
      </c>
      <c r="F68" s="7" t="s">
        <v>21</v>
      </c>
      <c r="G68">
        <v>16</v>
      </c>
      <c r="H68">
        <v>2.1</v>
      </c>
      <c r="I68">
        <v>45.438400000000001</v>
      </c>
      <c r="J68">
        <v>10.9916</v>
      </c>
      <c r="K68">
        <v>44.494900000000001</v>
      </c>
      <c r="L68">
        <v>11.342599999999999</v>
      </c>
      <c r="M68" s="7">
        <f t="shared" si="1"/>
        <v>108.4853856935753</v>
      </c>
      <c r="N68" s="7">
        <f>TBL_VIAGGI[[#This Row],[Km percosi-Linea d''aria]]*1.25</f>
        <v>135.60673211696911</v>
      </c>
      <c r="O68"/>
      <c r="P68"/>
      <c r="R68"/>
    </row>
    <row r="69" spans="1:18" x14ac:dyDescent="0.3">
      <c r="A69" s="1">
        <v>45375</v>
      </c>
      <c r="B69" s="7" t="s">
        <v>22</v>
      </c>
      <c r="C69" s="7" t="s">
        <v>15</v>
      </c>
      <c r="D69" s="7" t="s">
        <v>11</v>
      </c>
      <c r="E69" s="7" t="s">
        <v>23</v>
      </c>
      <c r="F69" s="7" t="s">
        <v>25</v>
      </c>
      <c r="G69">
        <v>18</v>
      </c>
      <c r="H69">
        <v>1.87</v>
      </c>
      <c r="I69">
        <v>45.438400000000001</v>
      </c>
      <c r="J69">
        <v>10.9916</v>
      </c>
      <c r="K69">
        <v>46.074800000000003</v>
      </c>
      <c r="L69">
        <v>11.121700000000001</v>
      </c>
      <c r="M69" s="7">
        <f t="shared" si="1"/>
        <v>71.480621044461714</v>
      </c>
      <c r="N69" s="7">
        <f>TBL_VIAGGI[[#This Row],[Km percosi-Linea d''aria]]*1.25</f>
        <v>89.350776305577142</v>
      </c>
      <c r="O69"/>
      <c r="P69"/>
      <c r="R69"/>
    </row>
    <row r="70" spans="1:18" x14ac:dyDescent="0.3">
      <c r="A70" s="1">
        <v>45372</v>
      </c>
      <c r="B70" s="7" t="s">
        <v>27</v>
      </c>
      <c r="C70" s="7" t="s">
        <v>15</v>
      </c>
      <c r="D70" s="7" t="s">
        <v>11</v>
      </c>
      <c r="E70" s="7" t="s">
        <v>18</v>
      </c>
      <c r="F70" s="7" t="s">
        <v>19</v>
      </c>
      <c r="G70">
        <v>14</v>
      </c>
      <c r="H70">
        <v>1.9</v>
      </c>
      <c r="I70">
        <v>45.438400000000001</v>
      </c>
      <c r="J70">
        <v>10.9916</v>
      </c>
      <c r="K70">
        <v>45.541600000000003</v>
      </c>
      <c r="L70">
        <v>10.2118</v>
      </c>
      <c r="M70" s="7">
        <f t="shared" si="1"/>
        <v>61.859907199936103</v>
      </c>
      <c r="N70" s="7">
        <f>TBL_VIAGGI[[#This Row],[Km percosi-Linea d''aria]]*1.25</f>
        <v>77.324883999920132</v>
      </c>
      <c r="O70"/>
      <c r="P70"/>
      <c r="R70"/>
    </row>
    <row r="71" spans="1:18" x14ac:dyDescent="0.3">
      <c r="A71" s="1">
        <v>45457</v>
      </c>
      <c r="B71" s="7" t="s">
        <v>27</v>
      </c>
      <c r="C71" s="7" t="s">
        <v>15</v>
      </c>
      <c r="D71" s="7" t="s">
        <v>11</v>
      </c>
      <c r="E71" s="7" t="s">
        <v>23</v>
      </c>
      <c r="F71" s="7" t="s">
        <v>25</v>
      </c>
      <c r="G71">
        <v>18</v>
      </c>
      <c r="H71">
        <v>1.87</v>
      </c>
      <c r="I71">
        <v>45.438400000000001</v>
      </c>
      <c r="J71">
        <v>10.9916</v>
      </c>
      <c r="K71">
        <v>46.074800000000003</v>
      </c>
      <c r="L71">
        <v>11.121700000000001</v>
      </c>
      <c r="M71" s="7">
        <f t="shared" si="1"/>
        <v>71.480621044461714</v>
      </c>
      <c r="N71" s="7">
        <f>TBL_VIAGGI[[#This Row],[Km percosi-Linea d''aria]]*1.25</f>
        <v>89.350776305577142</v>
      </c>
      <c r="O71"/>
      <c r="P71"/>
      <c r="R71"/>
    </row>
    <row r="72" spans="1:18" x14ac:dyDescent="0.3">
      <c r="A72" s="1">
        <v>45397</v>
      </c>
      <c r="B72" s="7" t="s">
        <v>27</v>
      </c>
      <c r="C72" s="7" t="s">
        <v>31</v>
      </c>
      <c r="D72" s="7" t="s">
        <v>11</v>
      </c>
      <c r="E72" s="7" t="s">
        <v>23</v>
      </c>
      <c r="F72" s="7" t="s">
        <v>21</v>
      </c>
      <c r="G72">
        <v>16</v>
      </c>
      <c r="H72">
        <v>1.9</v>
      </c>
      <c r="I72">
        <v>45.438400000000001</v>
      </c>
      <c r="J72">
        <v>10.9916</v>
      </c>
      <c r="K72">
        <v>46.074800000000003</v>
      </c>
      <c r="L72">
        <v>11.121700000000001</v>
      </c>
      <c r="M72" s="7">
        <f t="shared" si="1"/>
        <v>71.480621044461714</v>
      </c>
      <c r="N72" s="7">
        <f>TBL_VIAGGI[[#This Row],[Km percosi-Linea d''aria]]*1.25</f>
        <v>89.350776305577142</v>
      </c>
      <c r="O72"/>
      <c r="P72"/>
      <c r="R72"/>
    </row>
    <row r="73" spans="1:18" x14ac:dyDescent="0.3">
      <c r="A73" s="1">
        <v>45416</v>
      </c>
      <c r="B73" s="7" t="s">
        <v>28</v>
      </c>
      <c r="C73" s="7" t="s">
        <v>31</v>
      </c>
      <c r="D73" s="7" t="s">
        <v>11</v>
      </c>
      <c r="E73" s="7" t="s">
        <v>20</v>
      </c>
      <c r="F73" s="7" t="s">
        <v>21</v>
      </c>
      <c r="G73">
        <v>16</v>
      </c>
      <c r="H73">
        <v>1.79</v>
      </c>
      <c r="I73">
        <v>45.438400000000001</v>
      </c>
      <c r="J73">
        <v>10.9916</v>
      </c>
      <c r="K73">
        <v>45.156399999999998</v>
      </c>
      <c r="L73">
        <v>10.791399999999999</v>
      </c>
      <c r="M73" s="7">
        <f t="shared" si="1"/>
        <v>35.049482425494702</v>
      </c>
      <c r="N73" s="7">
        <f>TBL_VIAGGI[[#This Row],[Km percosi-Linea d''aria]]*1.25</f>
        <v>43.811853031868381</v>
      </c>
      <c r="O73"/>
      <c r="P73"/>
      <c r="R73"/>
    </row>
    <row r="74" spans="1:18" x14ac:dyDescent="0.3">
      <c r="A74" s="1">
        <v>45622</v>
      </c>
      <c r="B74" s="7" t="s">
        <v>28</v>
      </c>
      <c r="C74" s="7" t="s">
        <v>24</v>
      </c>
      <c r="D74" s="7" t="s">
        <v>11</v>
      </c>
      <c r="E74" s="7" t="s">
        <v>18</v>
      </c>
      <c r="F74" s="7" t="s">
        <v>25</v>
      </c>
      <c r="G74">
        <v>18</v>
      </c>
      <c r="H74">
        <v>2</v>
      </c>
      <c r="I74">
        <v>45.438400000000001</v>
      </c>
      <c r="J74">
        <v>10.9916</v>
      </c>
      <c r="K74">
        <v>45.541600000000003</v>
      </c>
      <c r="L74">
        <v>10.2118</v>
      </c>
      <c r="M74" s="7">
        <f t="shared" si="1"/>
        <v>61.859907199936103</v>
      </c>
      <c r="N74" s="7">
        <f>TBL_VIAGGI[[#This Row],[Km percosi-Linea d''aria]]*1.25</f>
        <v>77.324883999920132</v>
      </c>
      <c r="O74"/>
      <c r="P74"/>
      <c r="R74"/>
    </row>
    <row r="75" spans="1:18" x14ac:dyDescent="0.3">
      <c r="A75" s="1">
        <v>45317</v>
      </c>
      <c r="B75" s="7" t="s">
        <v>28</v>
      </c>
      <c r="C75" s="7" t="s">
        <v>31</v>
      </c>
      <c r="D75" s="7" t="s">
        <v>11</v>
      </c>
      <c r="E75" s="7" t="s">
        <v>12</v>
      </c>
      <c r="F75" s="7" t="s">
        <v>25</v>
      </c>
      <c r="G75">
        <v>18</v>
      </c>
      <c r="H75">
        <v>2.0699999999999998</v>
      </c>
      <c r="I75">
        <v>45.438400000000001</v>
      </c>
      <c r="J75">
        <v>10.9916</v>
      </c>
      <c r="K75">
        <v>45.406399999999998</v>
      </c>
      <c r="L75">
        <v>11.876799999999999</v>
      </c>
      <c r="M75" s="7">
        <f t="shared" si="1"/>
        <v>69.17656464510614</v>
      </c>
      <c r="N75" s="7">
        <f>TBL_VIAGGI[[#This Row],[Km percosi-Linea d''aria]]*1.25</f>
        <v>86.470705806382682</v>
      </c>
      <c r="O75"/>
      <c r="P75"/>
      <c r="R75"/>
    </row>
    <row r="76" spans="1:18" x14ac:dyDescent="0.3">
      <c r="A76" s="1">
        <v>45411</v>
      </c>
      <c r="B76" s="7" t="s">
        <v>14</v>
      </c>
      <c r="C76" s="7" t="s">
        <v>24</v>
      </c>
      <c r="D76" s="7" t="s">
        <v>11</v>
      </c>
      <c r="E76" s="7" t="s">
        <v>16</v>
      </c>
      <c r="F76" s="7" t="s">
        <v>19</v>
      </c>
      <c r="G76">
        <v>14</v>
      </c>
      <c r="H76">
        <v>2.04</v>
      </c>
      <c r="I76">
        <v>45.438400000000001</v>
      </c>
      <c r="J76">
        <v>10.9916</v>
      </c>
      <c r="K76">
        <v>45.545499999999997</v>
      </c>
      <c r="L76">
        <v>11.535399999999999</v>
      </c>
      <c r="M76" s="7">
        <f t="shared" si="1"/>
        <v>44.029532629220121</v>
      </c>
      <c r="N76" s="7">
        <f>TBL_VIAGGI[[#This Row],[Km percosi-Linea d''aria]]*1.25</f>
        <v>55.036915786525149</v>
      </c>
      <c r="O76"/>
      <c r="P76"/>
      <c r="R76"/>
    </row>
    <row r="77" spans="1:18" x14ac:dyDescent="0.3">
      <c r="A77" s="1">
        <v>45462</v>
      </c>
      <c r="B77" s="7" t="s">
        <v>22</v>
      </c>
      <c r="C77" s="7" t="s">
        <v>15</v>
      </c>
      <c r="D77" s="7" t="s">
        <v>11</v>
      </c>
      <c r="E77" s="7" t="s">
        <v>16</v>
      </c>
      <c r="F77" s="7" t="s">
        <v>21</v>
      </c>
      <c r="G77">
        <v>16</v>
      </c>
      <c r="H77">
        <v>2.0299999999999998</v>
      </c>
      <c r="I77">
        <v>45.438400000000001</v>
      </c>
      <c r="J77">
        <v>10.9916</v>
      </c>
      <c r="K77">
        <v>45.545499999999997</v>
      </c>
      <c r="L77">
        <v>11.535399999999999</v>
      </c>
      <c r="M77" s="7">
        <f t="shared" si="1"/>
        <v>44.029532629220121</v>
      </c>
      <c r="N77" s="7">
        <f>TBL_VIAGGI[[#This Row],[Km percosi-Linea d''aria]]*1.25</f>
        <v>55.036915786525149</v>
      </c>
      <c r="O77"/>
      <c r="P77"/>
      <c r="R77"/>
    </row>
    <row r="78" spans="1:18" x14ac:dyDescent="0.3">
      <c r="A78" s="1">
        <v>45518</v>
      </c>
      <c r="B78" s="7" t="s">
        <v>28</v>
      </c>
      <c r="C78" s="7" t="s">
        <v>26</v>
      </c>
      <c r="D78" s="7" t="s">
        <v>11</v>
      </c>
      <c r="E78" s="7" t="s">
        <v>29</v>
      </c>
      <c r="F78" s="7" t="s">
        <v>21</v>
      </c>
      <c r="G78">
        <v>16</v>
      </c>
      <c r="H78">
        <v>2.08</v>
      </c>
      <c r="I78">
        <v>45.438400000000001</v>
      </c>
      <c r="J78">
        <v>10.9916</v>
      </c>
      <c r="K78">
        <v>45.464199999999998</v>
      </c>
      <c r="L78">
        <v>9.19</v>
      </c>
      <c r="M78" s="7">
        <f t="shared" si="1"/>
        <v>140.56002944653866</v>
      </c>
      <c r="N78" s="7">
        <f>TBL_VIAGGI[[#This Row],[Km percosi-Linea d''aria]]*1.25</f>
        <v>175.70003680817334</v>
      </c>
      <c r="O78"/>
      <c r="P78"/>
      <c r="R78"/>
    </row>
    <row r="79" spans="1:18" x14ac:dyDescent="0.3">
      <c r="A79" s="1">
        <v>45329</v>
      </c>
      <c r="B79" s="7" t="s">
        <v>27</v>
      </c>
      <c r="C79" s="7" t="s">
        <v>17</v>
      </c>
      <c r="D79" s="7" t="s">
        <v>11</v>
      </c>
      <c r="E79" s="7" t="s">
        <v>23</v>
      </c>
      <c r="F79" s="7" t="s">
        <v>21</v>
      </c>
      <c r="G79">
        <v>16</v>
      </c>
      <c r="H79">
        <v>2.1</v>
      </c>
      <c r="I79">
        <v>45.438400000000001</v>
      </c>
      <c r="J79">
        <v>10.9916</v>
      </c>
      <c r="K79">
        <v>46.074800000000003</v>
      </c>
      <c r="L79">
        <v>11.121700000000001</v>
      </c>
      <c r="M79" s="7">
        <f t="shared" si="1"/>
        <v>71.480621044461714</v>
      </c>
      <c r="N79" s="7">
        <f>TBL_VIAGGI[[#This Row],[Km percosi-Linea d''aria]]*1.25</f>
        <v>89.350776305577142</v>
      </c>
      <c r="O79"/>
      <c r="P79"/>
      <c r="R79"/>
    </row>
    <row r="80" spans="1:18" x14ac:dyDescent="0.3">
      <c r="A80" s="1">
        <v>45526</v>
      </c>
      <c r="B80" s="7" t="s">
        <v>14</v>
      </c>
      <c r="C80" s="7" t="s">
        <v>17</v>
      </c>
      <c r="D80" s="7" t="s">
        <v>11</v>
      </c>
      <c r="E80" s="7" t="s">
        <v>29</v>
      </c>
      <c r="F80" s="7" t="s">
        <v>13</v>
      </c>
      <c r="G80">
        <v>20</v>
      </c>
      <c r="H80">
        <v>1.82</v>
      </c>
      <c r="I80">
        <v>45.438400000000001</v>
      </c>
      <c r="J80">
        <v>10.9916</v>
      </c>
      <c r="K80">
        <v>45.464199999999998</v>
      </c>
      <c r="L80">
        <v>9.19</v>
      </c>
      <c r="M80" s="7">
        <f t="shared" si="1"/>
        <v>140.56002944653866</v>
      </c>
      <c r="N80" s="7">
        <f>TBL_VIAGGI[[#This Row],[Km percosi-Linea d''aria]]*1.25</f>
        <v>175.70003680817334</v>
      </c>
      <c r="O80"/>
      <c r="P80"/>
      <c r="R80"/>
    </row>
    <row r="81" spans="1:18" x14ac:dyDescent="0.3">
      <c r="A81" s="1">
        <v>45606</v>
      </c>
      <c r="B81" s="7" t="s">
        <v>27</v>
      </c>
      <c r="C81" s="7" t="s">
        <v>17</v>
      </c>
      <c r="D81" s="7" t="s">
        <v>11</v>
      </c>
      <c r="E81" s="7" t="s">
        <v>16</v>
      </c>
      <c r="F81" s="7" t="s">
        <v>19</v>
      </c>
      <c r="G81">
        <v>14</v>
      </c>
      <c r="H81">
        <v>2.06</v>
      </c>
      <c r="I81">
        <v>45.438400000000001</v>
      </c>
      <c r="J81">
        <v>10.9916</v>
      </c>
      <c r="K81">
        <v>45.545499999999997</v>
      </c>
      <c r="L81">
        <v>11.535399999999999</v>
      </c>
      <c r="M81" s="7">
        <f t="shared" si="1"/>
        <v>44.029532629220121</v>
      </c>
      <c r="N81" s="7">
        <f>TBL_VIAGGI[[#This Row],[Km percosi-Linea d''aria]]*1.25</f>
        <v>55.036915786525149</v>
      </c>
      <c r="O81"/>
      <c r="P81"/>
      <c r="R81"/>
    </row>
    <row r="82" spans="1:18" x14ac:dyDescent="0.3">
      <c r="A82" s="1">
        <v>45326</v>
      </c>
      <c r="B82" s="7" t="s">
        <v>9</v>
      </c>
      <c r="C82" s="7" t="s">
        <v>26</v>
      </c>
      <c r="D82" s="7" t="s">
        <v>11</v>
      </c>
      <c r="E82" s="7" t="s">
        <v>23</v>
      </c>
      <c r="F82" s="7" t="s">
        <v>25</v>
      </c>
      <c r="G82">
        <v>18</v>
      </c>
      <c r="H82">
        <v>1.98</v>
      </c>
      <c r="I82">
        <v>45.438400000000001</v>
      </c>
      <c r="J82">
        <v>10.9916</v>
      </c>
      <c r="K82">
        <v>46.074800000000003</v>
      </c>
      <c r="L82">
        <v>11.121700000000001</v>
      </c>
      <c r="M82" s="7">
        <f t="shared" si="1"/>
        <v>71.480621044461714</v>
      </c>
      <c r="N82" s="7">
        <f>TBL_VIAGGI[[#This Row],[Km percosi-Linea d''aria]]*1.25</f>
        <v>89.350776305577142</v>
      </c>
      <c r="O82"/>
      <c r="P82"/>
      <c r="R82"/>
    </row>
    <row r="83" spans="1:18" x14ac:dyDescent="0.3">
      <c r="A83" s="1">
        <v>45310</v>
      </c>
      <c r="B83" s="7" t="s">
        <v>9</v>
      </c>
      <c r="C83" s="7" t="s">
        <v>31</v>
      </c>
      <c r="D83" s="7" t="s">
        <v>11</v>
      </c>
      <c r="E83" s="7" t="s">
        <v>20</v>
      </c>
      <c r="F83" s="7" t="s">
        <v>13</v>
      </c>
      <c r="G83">
        <v>20</v>
      </c>
      <c r="H83">
        <v>1.94</v>
      </c>
      <c r="I83">
        <v>45.438400000000001</v>
      </c>
      <c r="J83">
        <v>10.9916</v>
      </c>
      <c r="K83">
        <v>45.156399999999998</v>
      </c>
      <c r="L83">
        <v>10.791399999999999</v>
      </c>
      <c r="M83" s="7">
        <f t="shared" si="1"/>
        <v>35.049482425494702</v>
      </c>
      <c r="N83" s="7">
        <f>TBL_VIAGGI[[#This Row],[Km percosi-Linea d''aria]]*1.25</f>
        <v>43.811853031868381</v>
      </c>
      <c r="O83"/>
      <c r="P83"/>
      <c r="R83"/>
    </row>
    <row r="84" spans="1:18" x14ac:dyDescent="0.3">
      <c r="A84" s="1">
        <v>45628</v>
      </c>
      <c r="B84" s="7" t="s">
        <v>14</v>
      </c>
      <c r="C84" s="7" t="s">
        <v>26</v>
      </c>
      <c r="D84" s="7" t="s">
        <v>11</v>
      </c>
      <c r="E84" s="7" t="s">
        <v>29</v>
      </c>
      <c r="F84" s="7" t="s">
        <v>21</v>
      </c>
      <c r="G84">
        <v>16</v>
      </c>
      <c r="H84">
        <v>1.86</v>
      </c>
      <c r="I84">
        <v>45.438400000000001</v>
      </c>
      <c r="J84">
        <v>10.9916</v>
      </c>
      <c r="K84">
        <v>45.464199999999998</v>
      </c>
      <c r="L84">
        <v>9.19</v>
      </c>
      <c r="M84" s="7">
        <f t="shared" si="1"/>
        <v>140.56002944653866</v>
      </c>
      <c r="N84" s="7">
        <f>TBL_VIAGGI[[#This Row],[Km percosi-Linea d''aria]]*1.25</f>
        <v>175.70003680817334</v>
      </c>
      <c r="O84"/>
      <c r="P84"/>
      <c r="R84"/>
    </row>
    <row r="85" spans="1:18" x14ac:dyDescent="0.3">
      <c r="A85" s="1">
        <v>45405</v>
      </c>
      <c r="B85" s="7" t="s">
        <v>27</v>
      </c>
      <c r="C85" s="7" t="s">
        <v>26</v>
      </c>
      <c r="D85" s="7" t="s">
        <v>11</v>
      </c>
      <c r="E85" s="7" t="s">
        <v>18</v>
      </c>
      <c r="F85" s="7" t="s">
        <v>19</v>
      </c>
      <c r="G85">
        <v>14</v>
      </c>
      <c r="H85">
        <v>2.06</v>
      </c>
      <c r="I85">
        <v>45.438400000000001</v>
      </c>
      <c r="J85">
        <v>10.9916</v>
      </c>
      <c r="K85">
        <v>45.541600000000003</v>
      </c>
      <c r="L85">
        <v>10.2118</v>
      </c>
      <c r="M85" s="7">
        <f t="shared" si="1"/>
        <v>61.859907199936103</v>
      </c>
      <c r="N85" s="7">
        <f>TBL_VIAGGI[[#This Row],[Km percosi-Linea d''aria]]*1.25</f>
        <v>77.324883999920132</v>
      </c>
      <c r="O85"/>
      <c r="P85"/>
      <c r="R85"/>
    </row>
    <row r="86" spans="1:18" x14ac:dyDescent="0.3">
      <c r="A86" s="1">
        <v>45334</v>
      </c>
      <c r="B86" s="7" t="s">
        <v>9</v>
      </c>
      <c r="C86" s="7" t="s">
        <v>17</v>
      </c>
      <c r="D86" s="7" t="s">
        <v>11</v>
      </c>
      <c r="E86" s="7" t="s">
        <v>23</v>
      </c>
      <c r="F86" s="7" t="s">
        <v>19</v>
      </c>
      <c r="G86">
        <v>14</v>
      </c>
      <c r="H86">
        <v>1.82</v>
      </c>
      <c r="I86">
        <v>45.438400000000001</v>
      </c>
      <c r="J86">
        <v>10.9916</v>
      </c>
      <c r="K86">
        <v>46.074800000000003</v>
      </c>
      <c r="L86">
        <v>11.121700000000001</v>
      </c>
      <c r="M86" s="7">
        <f t="shared" si="1"/>
        <v>71.480621044461714</v>
      </c>
      <c r="N86" s="7">
        <f>TBL_VIAGGI[[#This Row],[Km percosi-Linea d''aria]]*1.25</f>
        <v>89.350776305577142</v>
      </c>
      <c r="O86"/>
      <c r="P86"/>
      <c r="R86"/>
    </row>
    <row r="87" spans="1:18" x14ac:dyDescent="0.3">
      <c r="A87" s="1">
        <v>45302</v>
      </c>
      <c r="B87" s="7" t="s">
        <v>28</v>
      </c>
      <c r="C87" s="7" t="s">
        <v>17</v>
      </c>
      <c r="D87" s="7" t="s">
        <v>11</v>
      </c>
      <c r="E87" s="7" t="s">
        <v>29</v>
      </c>
      <c r="F87" s="7" t="s">
        <v>19</v>
      </c>
      <c r="G87">
        <v>14</v>
      </c>
      <c r="H87">
        <v>1.94</v>
      </c>
      <c r="I87">
        <v>45.438400000000001</v>
      </c>
      <c r="J87">
        <v>10.9916</v>
      </c>
      <c r="K87">
        <v>45.464199999999998</v>
      </c>
      <c r="L87">
        <v>9.19</v>
      </c>
      <c r="M87" s="7">
        <f t="shared" si="1"/>
        <v>140.56002944653866</v>
      </c>
      <c r="N87" s="7">
        <f>TBL_VIAGGI[[#This Row],[Km percosi-Linea d''aria]]*1.25</f>
        <v>175.70003680817334</v>
      </c>
      <c r="O87"/>
      <c r="P87"/>
      <c r="R87"/>
    </row>
    <row r="88" spans="1:18" x14ac:dyDescent="0.3">
      <c r="A88" s="1">
        <v>45449</v>
      </c>
      <c r="B88" s="7" t="s">
        <v>27</v>
      </c>
      <c r="C88" s="7" t="s">
        <v>31</v>
      </c>
      <c r="D88" s="7" t="s">
        <v>11</v>
      </c>
      <c r="E88" s="7" t="s">
        <v>23</v>
      </c>
      <c r="F88" s="7" t="s">
        <v>25</v>
      </c>
      <c r="G88">
        <v>18</v>
      </c>
      <c r="H88">
        <v>1.87</v>
      </c>
      <c r="I88">
        <v>45.438400000000001</v>
      </c>
      <c r="J88">
        <v>10.9916</v>
      </c>
      <c r="K88">
        <v>46.074800000000003</v>
      </c>
      <c r="L88">
        <v>11.121700000000001</v>
      </c>
      <c r="M88" s="7">
        <f t="shared" si="1"/>
        <v>71.480621044461714</v>
      </c>
      <c r="N88" s="7">
        <f>TBL_VIAGGI[[#This Row],[Km percosi-Linea d''aria]]*1.25</f>
        <v>89.350776305577142</v>
      </c>
      <c r="O88"/>
      <c r="P88"/>
      <c r="R88"/>
    </row>
    <row r="89" spans="1:18" x14ac:dyDescent="0.3">
      <c r="A89" s="1">
        <v>45371</v>
      </c>
      <c r="B89" s="7" t="s">
        <v>27</v>
      </c>
      <c r="C89" s="7" t="s">
        <v>26</v>
      </c>
      <c r="D89" s="7" t="s">
        <v>11</v>
      </c>
      <c r="E89" s="7" t="s">
        <v>12</v>
      </c>
      <c r="F89" s="7" t="s">
        <v>19</v>
      </c>
      <c r="G89">
        <v>14</v>
      </c>
      <c r="H89">
        <v>1.82</v>
      </c>
      <c r="I89">
        <v>45.438400000000001</v>
      </c>
      <c r="J89">
        <v>10.9916</v>
      </c>
      <c r="K89">
        <v>45.406399999999998</v>
      </c>
      <c r="L89">
        <v>11.876799999999999</v>
      </c>
      <c r="M89" s="7">
        <f t="shared" si="1"/>
        <v>69.17656464510614</v>
      </c>
      <c r="N89" s="7">
        <f>TBL_VIAGGI[[#This Row],[Km percosi-Linea d''aria]]*1.25</f>
        <v>86.470705806382682</v>
      </c>
      <c r="O89"/>
      <c r="P89"/>
      <c r="R89"/>
    </row>
    <row r="90" spans="1:18" x14ac:dyDescent="0.3">
      <c r="A90" s="1">
        <v>45297</v>
      </c>
      <c r="B90" s="7" t="s">
        <v>9</v>
      </c>
      <c r="C90" s="7" t="s">
        <v>17</v>
      </c>
      <c r="D90" s="7" t="s">
        <v>11</v>
      </c>
      <c r="E90" s="7" t="s">
        <v>30</v>
      </c>
      <c r="F90" s="7" t="s">
        <v>13</v>
      </c>
      <c r="G90">
        <v>20</v>
      </c>
      <c r="H90">
        <v>1.79</v>
      </c>
      <c r="I90">
        <v>45.438400000000001</v>
      </c>
      <c r="J90">
        <v>10.9916</v>
      </c>
      <c r="K90">
        <v>44.494900000000001</v>
      </c>
      <c r="L90">
        <v>11.342599999999999</v>
      </c>
      <c r="M90" s="7">
        <f t="shared" si="1"/>
        <v>108.4853856935753</v>
      </c>
      <c r="N90" s="7">
        <f>TBL_VIAGGI[[#This Row],[Km percosi-Linea d''aria]]*1.25</f>
        <v>135.60673211696911</v>
      </c>
      <c r="O90"/>
      <c r="P90"/>
      <c r="R90"/>
    </row>
    <row r="91" spans="1:18" x14ac:dyDescent="0.3">
      <c r="A91" s="1">
        <v>45346</v>
      </c>
      <c r="B91" s="7" t="s">
        <v>27</v>
      </c>
      <c r="C91" s="7" t="s">
        <v>26</v>
      </c>
      <c r="D91" s="7" t="s">
        <v>11</v>
      </c>
      <c r="E91" s="7" t="s">
        <v>30</v>
      </c>
      <c r="F91" s="7" t="s">
        <v>21</v>
      </c>
      <c r="G91">
        <v>16</v>
      </c>
      <c r="H91">
        <v>1.84</v>
      </c>
      <c r="I91">
        <v>45.438400000000001</v>
      </c>
      <c r="J91">
        <v>10.9916</v>
      </c>
      <c r="K91">
        <v>44.494900000000001</v>
      </c>
      <c r="L91">
        <v>11.342599999999999</v>
      </c>
      <c r="M91" s="7">
        <f t="shared" si="1"/>
        <v>108.4853856935753</v>
      </c>
      <c r="N91" s="7">
        <f>TBL_VIAGGI[[#This Row],[Km percosi-Linea d''aria]]*1.25</f>
        <v>135.60673211696911</v>
      </c>
      <c r="O91"/>
      <c r="P91"/>
      <c r="R91"/>
    </row>
    <row r="92" spans="1:18" x14ac:dyDescent="0.3">
      <c r="A92" s="1">
        <v>45566</v>
      </c>
      <c r="B92" s="7" t="s">
        <v>9</v>
      </c>
      <c r="C92" s="7" t="s">
        <v>31</v>
      </c>
      <c r="D92" s="7" t="s">
        <v>11</v>
      </c>
      <c r="E92" s="7" t="s">
        <v>29</v>
      </c>
      <c r="F92" s="7" t="s">
        <v>19</v>
      </c>
      <c r="G92">
        <v>14</v>
      </c>
      <c r="H92">
        <v>1.98</v>
      </c>
      <c r="I92">
        <v>45.438400000000001</v>
      </c>
      <c r="J92">
        <v>10.9916</v>
      </c>
      <c r="K92">
        <v>45.464199999999998</v>
      </c>
      <c r="L92">
        <v>9.19</v>
      </c>
      <c r="M92" s="7">
        <f t="shared" si="1"/>
        <v>140.56002944653866</v>
      </c>
      <c r="N92" s="7">
        <f>TBL_VIAGGI[[#This Row],[Km percosi-Linea d''aria]]*1.25</f>
        <v>175.70003680817334</v>
      </c>
      <c r="O92"/>
      <c r="P92"/>
      <c r="R92"/>
    </row>
    <row r="93" spans="1:18" x14ac:dyDescent="0.3">
      <c r="A93" s="1">
        <v>45614</v>
      </c>
      <c r="B93" s="7" t="s">
        <v>9</v>
      </c>
      <c r="C93" s="7" t="s">
        <v>26</v>
      </c>
      <c r="D93" s="7" t="s">
        <v>11</v>
      </c>
      <c r="E93" s="7" t="s">
        <v>12</v>
      </c>
      <c r="F93" s="7" t="s">
        <v>19</v>
      </c>
      <c r="G93">
        <v>14</v>
      </c>
      <c r="H93">
        <v>1.86</v>
      </c>
      <c r="I93">
        <v>45.438400000000001</v>
      </c>
      <c r="J93">
        <v>10.9916</v>
      </c>
      <c r="K93">
        <v>45.406399999999998</v>
      </c>
      <c r="L93">
        <v>11.876799999999999</v>
      </c>
      <c r="M93" s="7">
        <f t="shared" si="1"/>
        <v>69.17656464510614</v>
      </c>
      <c r="N93" s="7">
        <f>TBL_VIAGGI[[#This Row],[Km percosi-Linea d''aria]]*1.25</f>
        <v>86.470705806382682</v>
      </c>
      <c r="O93"/>
      <c r="P93"/>
      <c r="R93"/>
    </row>
    <row r="94" spans="1:18" x14ac:dyDescent="0.3">
      <c r="A94" s="1">
        <v>45589</v>
      </c>
      <c r="B94" s="7" t="s">
        <v>27</v>
      </c>
      <c r="C94" s="7" t="s">
        <v>24</v>
      </c>
      <c r="D94" s="7" t="s">
        <v>11</v>
      </c>
      <c r="E94" s="7" t="s">
        <v>18</v>
      </c>
      <c r="F94" s="7" t="s">
        <v>25</v>
      </c>
      <c r="G94">
        <v>18</v>
      </c>
      <c r="H94">
        <v>1.99</v>
      </c>
      <c r="I94">
        <v>45.438400000000001</v>
      </c>
      <c r="J94">
        <v>10.9916</v>
      </c>
      <c r="K94">
        <v>45.541600000000003</v>
      </c>
      <c r="L94">
        <v>10.2118</v>
      </c>
      <c r="M94" s="7">
        <f t="shared" si="1"/>
        <v>61.859907199936103</v>
      </c>
      <c r="N94" s="7">
        <f>TBL_VIAGGI[[#This Row],[Km percosi-Linea d''aria]]*1.25</f>
        <v>77.324883999920132</v>
      </c>
      <c r="O94"/>
      <c r="P94"/>
      <c r="R94"/>
    </row>
    <row r="95" spans="1:18" x14ac:dyDescent="0.3">
      <c r="A95" s="1">
        <v>45487</v>
      </c>
      <c r="B95" s="7" t="s">
        <v>28</v>
      </c>
      <c r="C95" s="7" t="s">
        <v>31</v>
      </c>
      <c r="D95" s="7" t="s">
        <v>11</v>
      </c>
      <c r="E95" s="7" t="s">
        <v>18</v>
      </c>
      <c r="F95" s="7" t="s">
        <v>13</v>
      </c>
      <c r="G95">
        <v>20</v>
      </c>
      <c r="H95">
        <v>1.91</v>
      </c>
      <c r="I95">
        <v>45.438400000000001</v>
      </c>
      <c r="J95">
        <v>10.9916</v>
      </c>
      <c r="K95">
        <v>45.541600000000003</v>
      </c>
      <c r="L95">
        <v>10.2118</v>
      </c>
      <c r="M95" s="7">
        <f t="shared" si="1"/>
        <v>61.859907199936103</v>
      </c>
      <c r="N95" s="7">
        <f>TBL_VIAGGI[[#This Row],[Km percosi-Linea d''aria]]*1.25</f>
        <v>77.324883999920132</v>
      </c>
      <c r="O95"/>
      <c r="P95"/>
      <c r="R95"/>
    </row>
    <row r="96" spans="1:18" x14ac:dyDescent="0.3">
      <c r="A96" s="1">
        <v>45501</v>
      </c>
      <c r="B96" s="7" t="s">
        <v>22</v>
      </c>
      <c r="C96" s="7" t="s">
        <v>31</v>
      </c>
      <c r="D96" s="7" t="s">
        <v>11</v>
      </c>
      <c r="E96" s="7" t="s">
        <v>23</v>
      </c>
      <c r="F96" s="7" t="s">
        <v>25</v>
      </c>
      <c r="G96">
        <v>18</v>
      </c>
      <c r="H96">
        <v>2.0099999999999998</v>
      </c>
      <c r="I96">
        <v>45.438400000000001</v>
      </c>
      <c r="J96">
        <v>10.9916</v>
      </c>
      <c r="K96">
        <v>46.074800000000003</v>
      </c>
      <c r="L96">
        <v>11.121700000000001</v>
      </c>
      <c r="M96" s="7">
        <f t="shared" si="1"/>
        <v>71.480621044461714</v>
      </c>
      <c r="N96" s="7">
        <f>TBL_VIAGGI[[#This Row],[Km percosi-Linea d''aria]]*1.25</f>
        <v>89.350776305577142</v>
      </c>
      <c r="O96"/>
      <c r="P96"/>
      <c r="R96"/>
    </row>
    <row r="97" spans="1:18" x14ac:dyDescent="0.3">
      <c r="A97" s="1">
        <v>45407</v>
      </c>
      <c r="B97" s="7" t="s">
        <v>27</v>
      </c>
      <c r="C97" s="7" t="s">
        <v>10</v>
      </c>
      <c r="D97" s="7" t="s">
        <v>11</v>
      </c>
      <c r="E97" s="7" t="s">
        <v>30</v>
      </c>
      <c r="F97" s="7" t="s">
        <v>19</v>
      </c>
      <c r="G97">
        <v>14</v>
      </c>
      <c r="H97">
        <v>1.93</v>
      </c>
      <c r="I97">
        <v>45.438400000000001</v>
      </c>
      <c r="J97">
        <v>10.9916</v>
      </c>
      <c r="K97">
        <v>44.494900000000001</v>
      </c>
      <c r="L97">
        <v>11.342599999999999</v>
      </c>
      <c r="M97" s="7">
        <f t="shared" si="1"/>
        <v>108.4853856935753</v>
      </c>
      <c r="N97" s="7">
        <f>TBL_VIAGGI[[#This Row],[Km percosi-Linea d''aria]]*1.25</f>
        <v>135.60673211696911</v>
      </c>
      <c r="O97"/>
      <c r="P97"/>
      <c r="R97"/>
    </row>
    <row r="98" spans="1:18" x14ac:dyDescent="0.3">
      <c r="A98" s="1">
        <v>45565</v>
      </c>
      <c r="B98" s="7" t="s">
        <v>28</v>
      </c>
      <c r="C98" s="7" t="s">
        <v>31</v>
      </c>
      <c r="D98" s="7" t="s">
        <v>11</v>
      </c>
      <c r="E98" s="7" t="s">
        <v>29</v>
      </c>
      <c r="F98" s="7" t="s">
        <v>13</v>
      </c>
      <c r="G98">
        <v>20</v>
      </c>
      <c r="H98">
        <v>1.9</v>
      </c>
      <c r="I98">
        <v>45.438400000000001</v>
      </c>
      <c r="J98">
        <v>10.9916</v>
      </c>
      <c r="K98">
        <v>45.464199999999998</v>
      </c>
      <c r="L98">
        <v>9.19</v>
      </c>
      <c r="M98" s="7">
        <f t="shared" si="1"/>
        <v>140.56002944653866</v>
      </c>
      <c r="N98" s="7">
        <f>TBL_VIAGGI[[#This Row],[Km percosi-Linea d''aria]]*1.25</f>
        <v>175.70003680817334</v>
      </c>
      <c r="O98"/>
      <c r="P98"/>
      <c r="R98"/>
    </row>
    <row r="99" spans="1:18" x14ac:dyDescent="0.3">
      <c r="A99" s="1">
        <v>45523</v>
      </c>
      <c r="B99" s="7" t="s">
        <v>22</v>
      </c>
      <c r="C99" s="7" t="s">
        <v>31</v>
      </c>
      <c r="D99" s="7" t="s">
        <v>11</v>
      </c>
      <c r="E99" s="7" t="s">
        <v>29</v>
      </c>
      <c r="F99" s="7" t="s">
        <v>19</v>
      </c>
      <c r="G99">
        <v>14</v>
      </c>
      <c r="H99">
        <v>1.9</v>
      </c>
      <c r="I99">
        <v>45.438400000000001</v>
      </c>
      <c r="J99">
        <v>10.9916</v>
      </c>
      <c r="K99">
        <v>45.464199999999998</v>
      </c>
      <c r="L99">
        <v>9.19</v>
      </c>
      <c r="M99" s="7">
        <f t="shared" si="1"/>
        <v>140.56002944653866</v>
      </c>
      <c r="N99" s="7">
        <f>TBL_VIAGGI[[#This Row],[Km percosi-Linea d''aria]]*1.25</f>
        <v>175.70003680817334</v>
      </c>
      <c r="O99"/>
      <c r="P99"/>
      <c r="R99"/>
    </row>
    <row r="100" spans="1:18" x14ac:dyDescent="0.3">
      <c r="A100" s="1">
        <v>45641</v>
      </c>
      <c r="B100" s="7" t="s">
        <v>28</v>
      </c>
      <c r="C100" s="7" t="s">
        <v>24</v>
      </c>
      <c r="D100" s="7" t="s">
        <v>11</v>
      </c>
      <c r="E100" s="7" t="s">
        <v>12</v>
      </c>
      <c r="F100" s="7" t="s">
        <v>25</v>
      </c>
      <c r="G100">
        <v>18</v>
      </c>
      <c r="H100">
        <v>2.0699999999999998</v>
      </c>
      <c r="I100">
        <v>45.438400000000001</v>
      </c>
      <c r="J100">
        <v>10.9916</v>
      </c>
      <c r="K100">
        <v>45.406399999999998</v>
      </c>
      <c r="L100">
        <v>11.876799999999999</v>
      </c>
      <c r="M100" s="7">
        <f t="shared" si="1"/>
        <v>69.17656464510614</v>
      </c>
      <c r="N100" s="7">
        <f>TBL_VIAGGI[[#This Row],[Km percosi-Linea d''aria]]*1.25</f>
        <v>86.470705806382682</v>
      </c>
      <c r="O100"/>
      <c r="P100"/>
      <c r="R100"/>
    </row>
    <row r="101" spans="1:18" x14ac:dyDescent="0.3">
      <c r="A101" s="1">
        <v>45306</v>
      </c>
      <c r="B101" s="7" t="s">
        <v>14</v>
      </c>
      <c r="C101" s="7" t="s">
        <v>17</v>
      </c>
      <c r="D101" s="7" t="s">
        <v>11</v>
      </c>
      <c r="E101" s="7" t="s">
        <v>16</v>
      </c>
      <c r="F101" s="7" t="s">
        <v>13</v>
      </c>
      <c r="G101">
        <v>20</v>
      </c>
      <c r="H101">
        <v>1.89</v>
      </c>
      <c r="I101">
        <v>45.438400000000001</v>
      </c>
      <c r="J101">
        <v>10.9916</v>
      </c>
      <c r="K101">
        <v>45.545499999999997</v>
      </c>
      <c r="L101">
        <v>11.535399999999999</v>
      </c>
      <c r="M101" s="7">
        <f t="shared" si="1"/>
        <v>44.029532629220121</v>
      </c>
      <c r="N101" s="7">
        <f>TBL_VIAGGI[[#This Row],[Km percosi-Linea d''aria]]*1.25</f>
        <v>55.036915786525149</v>
      </c>
      <c r="O101"/>
      <c r="P101"/>
      <c r="R101"/>
    </row>
    <row r="102" spans="1:18" x14ac:dyDescent="0.3">
      <c r="A102" s="1">
        <v>45335</v>
      </c>
      <c r="B102" s="7" t="s">
        <v>28</v>
      </c>
      <c r="C102" s="7" t="s">
        <v>24</v>
      </c>
      <c r="D102" s="7" t="s">
        <v>11</v>
      </c>
      <c r="E102" s="7" t="s">
        <v>30</v>
      </c>
      <c r="F102" s="7" t="s">
        <v>19</v>
      </c>
      <c r="G102">
        <v>14</v>
      </c>
      <c r="H102">
        <v>1.89</v>
      </c>
      <c r="I102">
        <v>45.438400000000001</v>
      </c>
      <c r="J102">
        <v>10.9916</v>
      </c>
      <c r="K102">
        <v>44.494900000000001</v>
      </c>
      <c r="L102">
        <v>11.342599999999999</v>
      </c>
      <c r="M102" s="7">
        <f t="shared" si="1"/>
        <v>108.4853856935753</v>
      </c>
      <c r="N102" s="7">
        <f>TBL_VIAGGI[[#This Row],[Km percosi-Linea d''aria]]*1.25</f>
        <v>135.60673211696911</v>
      </c>
      <c r="O102"/>
      <c r="P102"/>
      <c r="R102"/>
    </row>
    <row r="103" spans="1:18" x14ac:dyDescent="0.3">
      <c r="A103" s="1">
        <v>45611</v>
      </c>
      <c r="B103" s="7" t="s">
        <v>9</v>
      </c>
      <c r="C103" s="7" t="s">
        <v>26</v>
      </c>
      <c r="D103" s="7" t="s">
        <v>11</v>
      </c>
      <c r="E103" s="7" t="s">
        <v>30</v>
      </c>
      <c r="F103" s="7" t="s">
        <v>25</v>
      </c>
      <c r="G103">
        <v>18</v>
      </c>
      <c r="H103">
        <v>1.82</v>
      </c>
      <c r="I103">
        <v>45.438400000000001</v>
      </c>
      <c r="J103">
        <v>10.9916</v>
      </c>
      <c r="K103">
        <v>44.494900000000001</v>
      </c>
      <c r="L103">
        <v>11.342599999999999</v>
      </c>
      <c r="M103" s="7">
        <f t="shared" si="1"/>
        <v>108.4853856935753</v>
      </c>
      <c r="N103" s="7">
        <f>TBL_VIAGGI[[#This Row],[Km percosi-Linea d''aria]]*1.25</f>
        <v>135.60673211696911</v>
      </c>
      <c r="O103"/>
      <c r="P103"/>
      <c r="R103"/>
    </row>
    <row r="104" spans="1:18" x14ac:dyDescent="0.3">
      <c r="A104" s="1">
        <v>45430</v>
      </c>
      <c r="B104" s="7" t="s">
        <v>14</v>
      </c>
      <c r="C104" s="7" t="s">
        <v>15</v>
      </c>
      <c r="D104" s="7" t="s">
        <v>11</v>
      </c>
      <c r="E104" s="7" t="s">
        <v>12</v>
      </c>
      <c r="F104" s="7" t="s">
        <v>13</v>
      </c>
      <c r="G104">
        <v>20</v>
      </c>
      <c r="H104">
        <v>1.79</v>
      </c>
      <c r="I104">
        <v>45.438400000000001</v>
      </c>
      <c r="J104">
        <v>10.9916</v>
      </c>
      <c r="K104">
        <v>45.406399999999998</v>
      </c>
      <c r="L104">
        <v>11.876799999999999</v>
      </c>
      <c r="M104" s="7">
        <f t="shared" si="1"/>
        <v>69.17656464510614</v>
      </c>
      <c r="N104" s="7">
        <f>TBL_VIAGGI[[#This Row],[Km percosi-Linea d''aria]]*1.25</f>
        <v>86.470705806382682</v>
      </c>
      <c r="O104"/>
      <c r="P104"/>
      <c r="R104"/>
    </row>
    <row r="105" spans="1:18" x14ac:dyDescent="0.3">
      <c r="A105" s="1">
        <v>45642</v>
      </c>
      <c r="B105" s="7" t="s">
        <v>28</v>
      </c>
      <c r="C105" s="7" t="s">
        <v>31</v>
      </c>
      <c r="D105" s="7" t="s">
        <v>11</v>
      </c>
      <c r="E105" s="7" t="s">
        <v>20</v>
      </c>
      <c r="F105" s="7" t="s">
        <v>21</v>
      </c>
      <c r="G105">
        <v>16</v>
      </c>
      <c r="H105">
        <v>2.0099999999999998</v>
      </c>
      <c r="I105">
        <v>45.438400000000001</v>
      </c>
      <c r="J105">
        <v>10.9916</v>
      </c>
      <c r="K105">
        <v>45.156399999999998</v>
      </c>
      <c r="L105">
        <v>10.791399999999999</v>
      </c>
      <c r="M105" s="7">
        <f t="shared" si="1"/>
        <v>35.049482425494702</v>
      </c>
      <c r="N105" s="7">
        <f>TBL_VIAGGI[[#This Row],[Km percosi-Linea d''aria]]*1.25</f>
        <v>43.811853031868381</v>
      </c>
      <c r="O105"/>
      <c r="P105"/>
      <c r="R105"/>
    </row>
    <row r="106" spans="1:18" x14ac:dyDescent="0.3">
      <c r="A106" s="1">
        <v>45488</v>
      </c>
      <c r="B106" s="7" t="s">
        <v>14</v>
      </c>
      <c r="C106" s="7" t="s">
        <v>15</v>
      </c>
      <c r="D106" s="7" t="s">
        <v>11</v>
      </c>
      <c r="E106" s="7" t="s">
        <v>12</v>
      </c>
      <c r="F106" s="7" t="s">
        <v>25</v>
      </c>
      <c r="G106">
        <v>18</v>
      </c>
      <c r="H106">
        <v>2</v>
      </c>
      <c r="I106">
        <v>45.438400000000001</v>
      </c>
      <c r="J106">
        <v>10.9916</v>
      </c>
      <c r="K106">
        <v>45.406399999999998</v>
      </c>
      <c r="L106">
        <v>11.876799999999999</v>
      </c>
      <c r="M106" s="7">
        <f t="shared" si="1"/>
        <v>69.17656464510614</v>
      </c>
      <c r="N106" s="7">
        <f>TBL_VIAGGI[[#This Row],[Km percosi-Linea d''aria]]*1.25</f>
        <v>86.470705806382682</v>
      </c>
      <c r="O106"/>
      <c r="P106"/>
      <c r="R106"/>
    </row>
    <row r="107" spans="1:18" x14ac:dyDescent="0.3">
      <c r="A107" s="1">
        <v>45390</v>
      </c>
      <c r="B107" s="7" t="s">
        <v>27</v>
      </c>
      <c r="C107" s="7" t="s">
        <v>31</v>
      </c>
      <c r="D107" s="7" t="s">
        <v>11</v>
      </c>
      <c r="E107" s="7" t="s">
        <v>29</v>
      </c>
      <c r="F107" s="7" t="s">
        <v>13</v>
      </c>
      <c r="G107">
        <v>20</v>
      </c>
      <c r="H107">
        <v>1.9</v>
      </c>
      <c r="I107">
        <v>45.438400000000001</v>
      </c>
      <c r="J107">
        <v>10.9916</v>
      </c>
      <c r="K107">
        <v>45.464199999999998</v>
      </c>
      <c r="L107">
        <v>9.19</v>
      </c>
      <c r="M107" s="7">
        <f t="shared" si="1"/>
        <v>140.56002944653866</v>
      </c>
      <c r="N107" s="7">
        <f>TBL_VIAGGI[[#This Row],[Km percosi-Linea d''aria]]*1.25</f>
        <v>175.70003680817334</v>
      </c>
      <c r="O107"/>
      <c r="P107"/>
      <c r="R107"/>
    </row>
    <row r="108" spans="1:18" x14ac:dyDescent="0.3">
      <c r="A108" s="1">
        <v>45486</v>
      </c>
      <c r="B108" s="7" t="s">
        <v>28</v>
      </c>
      <c r="C108" s="7" t="s">
        <v>31</v>
      </c>
      <c r="D108" s="7" t="s">
        <v>11</v>
      </c>
      <c r="E108" s="7" t="s">
        <v>30</v>
      </c>
      <c r="F108" s="7" t="s">
        <v>13</v>
      </c>
      <c r="G108">
        <v>20</v>
      </c>
      <c r="H108">
        <v>1.97</v>
      </c>
      <c r="I108">
        <v>45.438400000000001</v>
      </c>
      <c r="J108">
        <v>10.9916</v>
      </c>
      <c r="K108">
        <v>44.494900000000001</v>
      </c>
      <c r="L108">
        <v>11.342599999999999</v>
      </c>
      <c r="M108" s="7">
        <f t="shared" si="1"/>
        <v>108.4853856935753</v>
      </c>
      <c r="N108" s="7">
        <f>TBL_VIAGGI[[#This Row],[Km percosi-Linea d''aria]]*1.25</f>
        <v>135.60673211696911</v>
      </c>
      <c r="O108"/>
      <c r="P108"/>
      <c r="R108"/>
    </row>
    <row r="109" spans="1:18" x14ac:dyDescent="0.3">
      <c r="A109" s="1">
        <v>45458</v>
      </c>
      <c r="B109" s="7" t="s">
        <v>28</v>
      </c>
      <c r="C109" s="7" t="s">
        <v>26</v>
      </c>
      <c r="D109" s="7" t="s">
        <v>11</v>
      </c>
      <c r="E109" s="7" t="s">
        <v>20</v>
      </c>
      <c r="F109" s="7" t="s">
        <v>21</v>
      </c>
      <c r="G109">
        <v>16</v>
      </c>
      <c r="H109">
        <v>1.86</v>
      </c>
      <c r="I109">
        <v>45.438400000000001</v>
      </c>
      <c r="J109">
        <v>10.9916</v>
      </c>
      <c r="K109">
        <v>45.156399999999998</v>
      </c>
      <c r="L109">
        <v>10.791399999999999</v>
      </c>
      <c r="M109" s="7">
        <f t="shared" si="1"/>
        <v>35.049482425494702</v>
      </c>
      <c r="N109" s="7">
        <f>TBL_VIAGGI[[#This Row],[Km percosi-Linea d''aria]]*1.25</f>
        <v>43.811853031868381</v>
      </c>
      <c r="O109"/>
      <c r="P109"/>
      <c r="R109"/>
    </row>
    <row r="110" spans="1:18" x14ac:dyDescent="0.3">
      <c r="A110" s="1">
        <v>45440</v>
      </c>
      <c r="B110" s="7" t="s">
        <v>9</v>
      </c>
      <c r="C110" s="7" t="s">
        <v>26</v>
      </c>
      <c r="D110" s="7" t="s">
        <v>11</v>
      </c>
      <c r="E110" s="7" t="s">
        <v>18</v>
      </c>
      <c r="F110" s="7" t="s">
        <v>25</v>
      </c>
      <c r="G110">
        <v>18</v>
      </c>
      <c r="H110">
        <v>1.87</v>
      </c>
      <c r="I110">
        <v>45.438400000000001</v>
      </c>
      <c r="J110">
        <v>10.9916</v>
      </c>
      <c r="K110">
        <v>45.541600000000003</v>
      </c>
      <c r="L110">
        <v>10.2118</v>
      </c>
      <c r="M110" s="7">
        <f t="shared" si="1"/>
        <v>61.859907199936103</v>
      </c>
      <c r="N110" s="7">
        <f>TBL_VIAGGI[[#This Row],[Km percosi-Linea d''aria]]*1.25</f>
        <v>77.324883999920132</v>
      </c>
      <c r="O110"/>
      <c r="P110"/>
      <c r="R110"/>
    </row>
    <row r="111" spans="1:18" x14ac:dyDescent="0.3">
      <c r="A111" s="1">
        <v>45446</v>
      </c>
      <c r="B111" s="7" t="s">
        <v>22</v>
      </c>
      <c r="C111" s="7" t="s">
        <v>10</v>
      </c>
      <c r="D111" s="7" t="s">
        <v>11</v>
      </c>
      <c r="E111" s="7" t="s">
        <v>16</v>
      </c>
      <c r="F111" s="7" t="s">
        <v>25</v>
      </c>
      <c r="G111">
        <v>18</v>
      </c>
      <c r="H111">
        <v>2.0099999999999998</v>
      </c>
      <c r="I111">
        <v>45.438400000000001</v>
      </c>
      <c r="J111">
        <v>10.9916</v>
      </c>
      <c r="K111">
        <v>45.545499999999997</v>
      </c>
      <c r="L111">
        <v>11.535399999999999</v>
      </c>
      <c r="M111" s="7">
        <f t="shared" si="1"/>
        <v>44.029532629220121</v>
      </c>
      <c r="N111" s="7">
        <f>TBL_VIAGGI[[#This Row],[Km percosi-Linea d''aria]]*1.25</f>
        <v>55.036915786525149</v>
      </c>
      <c r="O111"/>
      <c r="P111"/>
      <c r="R111"/>
    </row>
    <row r="112" spans="1:18" x14ac:dyDescent="0.3">
      <c r="A112" s="1">
        <v>45630</v>
      </c>
      <c r="B112" s="7" t="s">
        <v>22</v>
      </c>
      <c r="C112" s="7" t="s">
        <v>24</v>
      </c>
      <c r="D112" s="7" t="s">
        <v>11</v>
      </c>
      <c r="E112" s="7" t="s">
        <v>23</v>
      </c>
      <c r="F112" s="7" t="s">
        <v>19</v>
      </c>
      <c r="G112">
        <v>14</v>
      </c>
      <c r="H112">
        <v>1.84</v>
      </c>
      <c r="I112">
        <v>45.438400000000001</v>
      </c>
      <c r="J112">
        <v>10.9916</v>
      </c>
      <c r="K112">
        <v>46.074800000000003</v>
      </c>
      <c r="L112">
        <v>11.121700000000001</v>
      </c>
      <c r="M112" s="7">
        <f t="shared" si="1"/>
        <v>71.480621044461714</v>
      </c>
      <c r="N112" s="7">
        <f>TBL_VIAGGI[[#This Row],[Km percosi-Linea d''aria]]*1.25</f>
        <v>89.350776305577142</v>
      </c>
      <c r="O112"/>
      <c r="P112"/>
      <c r="R112"/>
    </row>
    <row r="113" spans="1:18" x14ac:dyDescent="0.3">
      <c r="A113" s="1">
        <v>45298</v>
      </c>
      <c r="B113" s="7" t="s">
        <v>9</v>
      </c>
      <c r="C113" s="7" t="s">
        <v>10</v>
      </c>
      <c r="D113" s="7" t="s">
        <v>11</v>
      </c>
      <c r="E113" s="7" t="s">
        <v>29</v>
      </c>
      <c r="F113" s="7" t="s">
        <v>19</v>
      </c>
      <c r="G113">
        <v>14</v>
      </c>
      <c r="H113">
        <v>2.04</v>
      </c>
      <c r="I113">
        <v>45.438400000000001</v>
      </c>
      <c r="J113">
        <v>10.9916</v>
      </c>
      <c r="K113">
        <v>45.464199999999998</v>
      </c>
      <c r="L113">
        <v>9.19</v>
      </c>
      <c r="M113" s="7">
        <f t="shared" si="1"/>
        <v>140.56002944653866</v>
      </c>
      <c r="N113" s="7">
        <f>TBL_VIAGGI[[#This Row],[Km percosi-Linea d''aria]]*1.25</f>
        <v>175.70003680817334</v>
      </c>
      <c r="O113"/>
      <c r="P113"/>
      <c r="R113"/>
    </row>
    <row r="114" spans="1:18" x14ac:dyDescent="0.3">
      <c r="A114" s="1">
        <v>45547</v>
      </c>
      <c r="B114" s="7" t="s">
        <v>22</v>
      </c>
      <c r="C114" s="7" t="s">
        <v>15</v>
      </c>
      <c r="D114" s="7" t="s">
        <v>11</v>
      </c>
      <c r="E114" s="7" t="s">
        <v>29</v>
      </c>
      <c r="F114" s="7" t="s">
        <v>25</v>
      </c>
      <c r="G114">
        <v>18</v>
      </c>
      <c r="H114">
        <v>1.98</v>
      </c>
      <c r="I114">
        <v>45.438400000000001</v>
      </c>
      <c r="J114">
        <v>10.9916</v>
      </c>
      <c r="K114">
        <v>45.464199999999998</v>
      </c>
      <c r="L114">
        <v>9.19</v>
      </c>
      <c r="M114" s="7">
        <f t="shared" si="1"/>
        <v>140.56002944653866</v>
      </c>
      <c r="N114" s="7">
        <f>TBL_VIAGGI[[#This Row],[Km percosi-Linea d''aria]]*1.25</f>
        <v>175.70003680817334</v>
      </c>
      <c r="O114"/>
      <c r="P114"/>
      <c r="R114"/>
    </row>
    <row r="115" spans="1:18" x14ac:dyDescent="0.3">
      <c r="A115" s="1">
        <v>45341</v>
      </c>
      <c r="B115" s="7" t="s">
        <v>9</v>
      </c>
      <c r="C115" s="7" t="s">
        <v>17</v>
      </c>
      <c r="D115" s="7" t="s">
        <v>11</v>
      </c>
      <c r="E115" s="7" t="s">
        <v>18</v>
      </c>
      <c r="F115" s="7" t="s">
        <v>19</v>
      </c>
      <c r="G115">
        <v>14</v>
      </c>
      <c r="H115">
        <v>2.0499999999999998</v>
      </c>
      <c r="I115">
        <v>45.438400000000001</v>
      </c>
      <c r="J115">
        <v>10.9916</v>
      </c>
      <c r="K115">
        <v>45.541600000000003</v>
      </c>
      <c r="L115">
        <v>10.2118</v>
      </c>
      <c r="M115" s="7">
        <f t="shared" si="1"/>
        <v>61.859907199936103</v>
      </c>
      <c r="N115" s="7">
        <f>TBL_VIAGGI[[#This Row],[Km percosi-Linea d''aria]]*1.25</f>
        <v>77.324883999920132</v>
      </c>
      <c r="O115"/>
      <c r="P115"/>
      <c r="R115"/>
    </row>
    <row r="116" spans="1:18" x14ac:dyDescent="0.3">
      <c r="A116" s="1">
        <v>45600</v>
      </c>
      <c r="B116" s="7" t="s">
        <v>14</v>
      </c>
      <c r="C116" s="7" t="s">
        <v>15</v>
      </c>
      <c r="D116" s="7" t="s">
        <v>11</v>
      </c>
      <c r="E116" s="7" t="s">
        <v>23</v>
      </c>
      <c r="F116" s="7" t="s">
        <v>25</v>
      </c>
      <c r="G116">
        <v>18</v>
      </c>
      <c r="H116">
        <v>1.95</v>
      </c>
      <c r="I116">
        <v>45.438400000000001</v>
      </c>
      <c r="J116">
        <v>10.9916</v>
      </c>
      <c r="K116">
        <v>46.074800000000003</v>
      </c>
      <c r="L116">
        <v>11.121700000000001</v>
      </c>
      <c r="M116" s="7">
        <f t="shared" si="1"/>
        <v>71.480621044461714</v>
      </c>
      <c r="N116" s="7">
        <f>TBL_VIAGGI[[#This Row],[Km percosi-Linea d''aria]]*1.25</f>
        <v>89.350776305577142</v>
      </c>
      <c r="O116"/>
      <c r="P116"/>
      <c r="R116"/>
    </row>
    <row r="117" spans="1:18" x14ac:dyDescent="0.3">
      <c r="A117" s="1">
        <v>45446</v>
      </c>
      <c r="B117" s="7" t="s">
        <v>9</v>
      </c>
      <c r="C117" s="7" t="s">
        <v>24</v>
      </c>
      <c r="D117" s="7" t="s">
        <v>11</v>
      </c>
      <c r="E117" s="7" t="s">
        <v>16</v>
      </c>
      <c r="F117" s="7" t="s">
        <v>21</v>
      </c>
      <c r="G117">
        <v>16</v>
      </c>
      <c r="H117">
        <v>1.93</v>
      </c>
      <c r="I117">
        <v>45.438400000000001</v>
      </c>
      <c r="J117">
        <v>10.9916</v>
      </c>
      <c r="K117">
        <v>45.545499999999997</v>
      </c>
      <c r="L117">
        <v>11.535399999999999</v>
      </c>
      <c r="M117" s="7">
        <f t="shared" si="1"/>
        <v>44.029532629220121</v>
      </c>
      <c r="N117" s="7">
        <f>TBL_VIAGGI[[#This Row],[Km percosi-Linea d''aria]]*1.25</f>
        <v>55.036915786525149</v>
      </c>
      <c r="O117"/>
      <c r="P117"/>
      <c r="R117"/>
    </row>
    <row r="118" spans="1:18" x14ac:dyDescent="0.3">
      <c r="A118" s="1">
        <v>45566</v>
      </c>
      <c r="B118" s="7" t="s">
        <v>9</v>
      </c>
      <c r="C118" s="7" t="s">
        <v>31</v>
      </c>
      <c r="D118" s="7" t="s">
        <v>11</v>
      </c>
      <c r="E118" s="7" t="s">
        <v>29</v>
      </c>
      <c r="F118" s="7" t="s">
        <v>21</v>
      </c>
      <c r="G118">
        <v>16</v>
      </c>
      <c r="H118">
        <v>2.0699999999999998</v>
      </c>
      <c r="I118">
        <v>45.438400000000001</v>
      </c>
      <c r="J118">
        <v>10.9916</v>
      </c>
      <c r="K118">
        <v>45.464199999999998</v>
      </c>
      <c r="L118">
        <v>9.19</v>
      </c>
      <c r="M118" s="7">
        <f t="shared" si="1"/>
        <v>140.56002944653866</v>
      </c>
      <c r="N118" s="7">
        <f>TBL_VIAGGI[[#This Row],[Km percosi-Linea d''aria]]*1.25</f>
        <v>175.70003680817334</v>
      </c>
      <c r="O118"/>
      <c r="P118"/>
      <c r="R118"/>
    </row>
    <row r="119" spans="1:18" x14ac:dyDescent="0.3">
      <c r="A119" s="1">
        <v>45310</v>
      </c>
      <c r="B119" s="7" t="s">
        <v>22</v>
      </c>
      <c r="C119" s="7" t="s">
        <v>17</v>
      </c>
      <c r="D119" s="7" t="s">
        <v>11</v>
      </c>
      <c r="E119" s="7" t="s">
        <v>16</v>
      </c>
      <c r="F119" s="7" t="s">
        <v>21</v>
      </c>
      <c r="G119">
        <v>16</v>
      </c>
      <c r="H119">
        <v>1.76</v>
      </c>
      <c r="I119">
        <v>45.438400000000001</v>
      </c>
      <c r="J119">
        <v>10.9916</v>
      </c>
      <c r="K119">
        <v>45.545499999999997</v>
      </c>
      <c r="L119">
        <v>11.535399999999999</v>
      </c>
      <c r="M119" s="7">
        <f t="shared" si="1"/>
        <v>44.029532629220121</v>
      </c>
      <c r="N119" s="7">
        <f>TBL_VIAGGI[[#This Row],[Km percosi-Linea d''aria]]*1.25</f>
        <v>55.036915786525149</v>
      </c>
      <c r="O119"/>
      <c r="P119"/>
      <c r="R119"/>
    </row>
    <row r="120" spans="1:18" x14ac:dyDescent="0.3">
      <c r="A120" s="1">
        <v>45476</v>
      </c>
      <c r="B120" s="7" t="s">
        <v>28</v>
      </c>
      <c r="C120" s="7" t="s">
        <v>31</v>
      </c>
      <c r="D120" s="7" t="s">
        <v>11</v>
      </c>
      <c r="E120" s="7" t="s">
        <v>12</v>
      </c>
      <c r="F120" s="7" t="s">
        <v>19</v>
      </c>
      <c r="G120">
        <v>14</v>
      </c>
      <c r="H120">
        <v>2.0699999999999998</v>
      </c>
      <c r="I120">
        <v>45.438400000000001</v>
      </c>
      <c r="J120">
        <v>10.9916</v>
      </c>
      <c r="K120">
        <v>45.406399999999998</v>
      </c>
      <c r="L120">
        <v>11.876799999999999</v>
      </c>
      <c r="M120" s="7">
        <f t="shared" si="1"/>
        <v>69.17656464510614</v>
      </c>
      <c r="N120" s="7">
        <f>TBL_VIAGGI[[#This Row],[Km percosi-Linea d''aria]]*1.25</f>
        <v>86.470705806382682</v>
      </c>
      <c r="O120"/>
      <c r="P120"/>
      <c r="R120"/>
    </row>
    <row r="121" spans="1:18" x14ac:dyDescent="0.3">
      <c r="A121" s="1">
        <v>45528</v>
      </c>
      <c r="B121" s="7" t="s">
        <v>9</v>
      </c>
      <c r="C121" s="7" t="s">
        <v>31</v>
      </c>
      <c r="D121" s="7" t="s">
        <v>11</v>
      </c>
      <c r="E121" s="7" t="s">
        <v>20</v>
      </c>
      <c r="F121" s="7" t="s">
        <v>25</v>
      </c>
      <c r="G121">
        <v>18</v>
      </c>
      <c r="H121">
        <v>1.93</v>
      </c>
      <c r="I121">
        <v>45.438400000000001</v>
      </c>
      <c r="J121">
        <v>10.9916</v>
      </c>
      <c r="K121">
        <v>45.156399999999998</v>
      </c>
      <c r="L121">
        <v>10.791399999999999</v>
      </c>
      <c r="M121" s="7">
        <f t="shared" si="1"/>
        <v>35.049482425494702</v>
      </c>
      <c r="N121" s="7">
        <f>TBL_VIAGGI[[#This Row],[Km percosi-Linea d''aria]]*1.25</f>
        <v>43.811853031868381</v>
      </c>
      <c r="O121"/>
      <c r="P121"/>
      <c r="R121"/>
    </row>
    <row r="122" spans="1:18" x14ac:dyDescent="0.3">
      <c r="A122" s="1">
        <v>45339</v>
      </c>
      <c r="B122" s="7" t="s">
        <v>14</v>
      </c>
      <c r="C122" s="7" t="s">
        <v>24</v>
      </c>
      <c r="D122" s="7" t="s">
        <v>11</v>
      </c>
      <c r="E122" s="7" t="s">
        <v>30</v>
      </c>
      <c r="F122" s="7" t="s">
        <v>13</v>
      </c>
      <c r="G122">
        <v>20</v>
      </c>
      <c r="H122">
        <v>1.88</v>
      </c>
      <c r="I122">
        <v>45.438400000000001</v>
      </c>
      <c r="J122">
        <v>10.9916</v>
      </c>
      <c r="K122">
        <v>44.494900000000001</v>
      </c>
      <c r="L122">
        <v>11.342599999999999</v>
      </c>
      <c r="M122" s="7">
        <f t="shared" si="1"/>
        <v>108.4853856935753</v>
      </c>
      <c r="N122" s="7">
        <f>TBL_VIAGGI[[#This Row],[Km percosi-Linea d''aria]]*1.25</f>
        <v>135.60673211696911</v>
      </c>
      <c r="O122"/>
      <c r="P122"/>
      <c r="R122"/>
    </row>
    <row r="123" spans="1:18" x14ac:dyDescent="0.3">
      <c r="A123" s="1">
        <v>45442</v>
      </c>
      <c r="B123" s="7" t="s">
        <v>27</v>
      </c>
      <c r="C123" s="7" t="s">
        <v>10</v>
      </c>
      <c r="D123" s="7" t="s">
        <v>11</v>
      </c>
      <c r="E123" s="7" t="s">
        <v>18</v>
      </c>
      <c r="F123" s="7" t="s">
        <v>21</v>
      </c>
      <c r="G123">
        <v>16</v>
      </c>
      <c r="H123">
        <v>1.87</v>
      </c>
      <c r="I123">
        <v>45.438400000000001</v>
      </c>
      <c r="J123">
        <v>10.9916</v>
      </c>
      <c r="K123">
        <v>45.541600000000003</v>
      </c>
      <c r="L123">
        <v>10.2118</v>
      </c>
      <c r="M123" s="7">
        <f t="shared" si="1"/>
        <v>61.859907199936103</v>
      </c>
      <c r="N123" s="7">
        <f>TBL_VIAGGI[[#This Row],[Km percosi-Linea d''aria]]*1.25</f>
        <v>77.324883999920132</v>
      </c>
      <c r="O123"/>
      <c r="P123"/>
      <c r="R123"/>
    </row>
    <row r="124" spans="1:18" x14ac:dyDescent="0.3">
      <c r="A124" s="1">
        <v>45321</v>
      </c>
      <c r="B124" s="7" t="s">
        <v>27</v>
      </c>
      <c r="C124" s="7" t="s">
        <v>26</v>
      </c>
      <c r="D124" s="7" t="s">
        <v>11</v>
      </c>
      <c r="E124" s="7" t="s">
        <v>12</v>
      </c>
      <c r="F124" s="7" t="s">
        <v>25</v>
      </c>
      <c r="G124">
        <v>18</v>
      </c>
      <c r="H124">
        <v>1.81</v>
      </c>
      <c r="I124">
        <v>45.438400000000001</v>
      </c>
      <c r="J124">
        <v>10.9916</v>
      </c>
      <c r="K124">
        <v>45.406399999999998</v>
      </c>
      <c r="L124">
        <v>11.876799999999999</v>
      </c>
      <c r="M124" s="7">
        <f t="shared" si="1"/>
        <v>69.17656464510614</v>
      </c>
      <c r="N124" s="7">
        <f>TBL_VIAGGI[[#This Row],[Km percosi-Linea d''aria]]*1.25</f>
        <v>86.470705806382682</v>
      </c>
      <c r="O124"/>
      <c r="P124"/>
      <c r="R124"/>
    </row>
    <row r="125" spans="1:18" x14ac:dyDescent="0.3">
      <c r="A125" s="1">
        <v>45645</v>
      </c>
      <c r="B125" s="7" t="s">
        <v>27</v>
      </c>
      <c r="C125" s="7" t="s">
        <v>31</v>
      </c>
      <c r="D125" s="7" t="s">
        <v>11</v>
      </c>
      <c r="E125" s="7" t="s">
        <v>29</v>
      </c>
      <c r="F125" s="7" t="s">
        <v>21</v>
      </c>
      <c r="G125">
        <v>16</v>
      </c>
      <c r="H125">
        <v>1.76</v>
      </c>
      <c r="I125">
        <v>45.438400000000001</v>
      </c>
      <c r="J125">
        <v>10.9916</v>
      </c>
      <c r="K125">
        <v>45.464199999999998</v>
      </c>
      <c r="L125">
        <v>9.19</v>
      </c>
      <c r="M125" s="7">
        <f t="shared" si="1"/>
        <v>140.56002944653866</v>
      </c>
      <c r="N125" s="7">
        <f>TBL_VIAGGI[[#This Row],[Km percosi-Linea d''aria]]*1.25</f>
        <v>175.70003680817334</v>
      </c>
      <c r="O125"/>
      <c r="P125"/>
      <c r="R125"/>
    </row>
    <row r="126" spans="1:18" x14ac:dyDescent="0.3">
      <c r="A126" s="1">
        <v>45599</v>
      </c>
      <c r="B126" s="7" t="s">
        <v>27</v>
      </c>
      <c r="C126" s="7" t="s">
        <v>10</v>
      </c>
      <c r="D126" s="7" t="s">
        <v>11</v>
      </c>
      <c r="E126" s="7" t="s">
        <v>18</v>
      </c>
      <c r="F126" s="7" t="s">
        <v>25</v>
      </c>
      <c r="G126">
        <v>18</v>
      </c>
      <c r="H126">
        <v>1.91</v>
      </c>
      <c r="I126">
        <v>45.438400000000001</v>
      </c>
      <c r="J126">
        <v>10.9916</v>
      </c>
      <c r="K126">
        <v>45.541600000000003</v>
      </c>
      <c r="L126">
        <v>10.2118</v>
      </c>
      <c r="M126" s="7">
        <f t="shared" si="1"/>
        <v>61.859907199936103</v>
      </c>
      <c r="N126" s="7">
        <f>TBL_VIAGGI[[#This Row],[Km percosi-Linea d''aria]]*1.25</f>
        <v>77.324883999920132</v>
      </c>
      <c r="O126"/>
      <c r="P126"/>
      <c r="R126"/>
    </row>
    <row r="127" spans="1:18" x14ac:dyDescent="0.3">
      <c r="A127" s="1">
        <v>45372</v>
      </c>
      <c r="B127" s="7" t="s">
        <v>22</v>
      </c>
      <c r="C127" s="7" t="s">
        <v>26</v>
      </c>
      <c r="D127" s="7" t="s">
        <v>11</v>
      </c>
      <c r="E127" s="7" t="s">
        <v>30</v>
      </c>
      <c r="F127" s="7" t="s">
        <v>25</v>
      </c>
      <c r="G127">
        <v>18</v>
      </c>
      <c r="H127">
        <v>1.93</v>
      </c>
      <c r="I127">
        <v>45.438400000000001</v>
      </c>
      <c r="J127">
        <v>10.9916</v>
      </c>
      <c r="K127">
        <v>44.494900000000001</v>
      </c>
      <c r="L127">
        <v>11.342599999999999</v>
      </c>
      <c r="M127" s="7">
        <f t="shared" si="1"/>
        <v>108.4853856935753</v>
      </c>
      <c r="N127" s="7">
        <f>TBL_VIAGGI[[#This Row],[Km percosi-Linea d''aria]]*1.25</f>
        <v>135.60673211696911</v>
      </c>
      <c r="O127"/>
      <c r="P127"/>
      <c r="R127"/>
    </row>
    <row r="128" spans="1:18" x14ac:dyDescent="0.3">
      <c r="A128" s="1">
        <v>45385</v>
      </c>
      <c r="B128" s="7" t="s">
        <v>27</v>
      </c>
      <c r="C128" s="7" t="s">
        <v>26</v>
      </c>
      <c r="D128" s="7" t="s">
        <v>11</v>
      </c>
      <c r="E128" s="7" t="s">
        <v>30</v>
      </c>
      <c r="F128" s="7" t="s">
        <v>25</v>
      </c>
      <c r="G128">
        <v>18</v>
      </c>
      <c r="H128">
        <v>1.9</v>
      </c>
      <c r="I128">
        <v>45.438400000000001</v>
      </c>
      <c r="J128">
        <v>10.9916</v>
      </c>
      <c r="K128">
        <v>44.494900000000001</v>
      </c>
      <c r="L128">
        <v>11.342599999999999</v>
      </c>
      <c r="M128" s="7">
        <f t="shared" si="1"/>
        <v>108.4853856935753</v>
      </c>
      <c r="N128" s="7">
        <f>TBL_VIAGGI[[#This Row],[Km percosi-Linea d''aria]]*1.25</f>
        <v>135.60673211696911</v>
      </c>
      <c r="O128"/>
      <c r="P128"/>
      <c r="R128"/>
    </row>
    <row r="129" spans="1:18" x14ac:dyDescent="0.3">
      <c r="A129" s="1">
        <v>45466</v>
      </c>
      <c r="B129" s="7" t="s">
        <v>14</v>
      </c>
      <c r="C129" s="7" t="s">
        <v>10</v>
      </c>
      <c r="D129" s="7" t="s">
        <v>11</v>
      </c>
      <c r="E129" s="7" t="s">
        <v>29</v>
      </c>
      <c r="F129" s="7" t="s">
        <v>13</v>
      </c>
      <c r="G129">
        <v>20</v>
      </c>
      <c r="H129">
        <v>1.78</v>
      </c>
      <c r="I129">
        <v>45.438400000000001</v>
      </c>
      <c r="J129">
        <v>10.9916</v>
      </c>
      <c r="K129">
        <v>45.464199999999998</v>
      </c>
      <c r="L129">
        <v>9.19</v>
      </c>
      <c r="M129" s="7">
        <f t="shared" si="1"/>
        <v>140.56002944653866</v>
      </c>
      <c r="N129" s="7">
        <f>TBL_VIAGGI[[#This Row],[Km percosi-Linea d''aria]]*1.25</f>
        <v>175.70003680817334</v>
      </c>
      <c r="O129"/>
      <c r="P129"/>
      <c r="R129"/>
    </row>
    <row r="130" spans="1:18" x14ac:dyDescent="0.3">
      <c r="A130" s="1">
        <v>45563</v>
      </c>
      <c r="B130" s="7" t="s">
        <v>9</v>
      </c>
      <c r="C130" s="7" t="s">
        <v>24</v>
      </c>
      <c r="D130" s="7" t="s">
        <v>11</v>
      </c>
      <c r="E130" s="7" t="s">
        <v>30</v>
      </c>
      <c r="F130" s="7" t="s">
        <v>25</v>
      </c>
      <c r="G130">
        <v>18</v>
      </c>
      <c r="H130">
        <v>1.8</v>
      </c>
      <c r="I130">
        <v>45.438400000000001</v>
      </c>
      <c r="J130">
        <v>10.9916</v>
      </c>
      <c r="K130">
        <v>44.494900000000001</v>
      </c>
      <c r="L130">
        <v>11.342599999999999</v>
      </c>
      <c r="M130" s="7">
        <f t="shared" ref="M130:M193" si="2">6371*ACOS(
COS(RADIANS(90-I130))*
COS(RADIANS(90-K130))+
SIN(RADIANS(90-I130))*
SIN(RADIANS(90-K130))*
COS(RADIANS(J130-L130))
)</f>
        <v>108.4853856935753</v>
      </c>
      <c r="N130" s="7">
        <f>TBL_VIAGGI[[#This Row],[Km percosi-Linea d''aria]]*1.25</f>
        <v>135.60673211696911</v>
      </c>
      <c r="O130"/>
      <c r="P130"/>
      <c r="R130"/>
    </row>
    <row r="131" spans="1:18" x14ac:dyDescent="0.3">
      <c r="A131" s="1">
        <v>45647</v>
      </c>
      <c r="B131" s="7" t="s">
        <v>22</v>
      </c>
      <c r="C131" s="7" t="s">
        <v>15</v>
      </c>
      <c r="D131" s="7" t="s">
        <v>11</v>
      </c>
      <c r="E131" s="7" t="s">
        <v>23</v>
      </c>
      <c r="F131" s="7" t="s">
        <v>13</v>
      </c>
      <c r="G131">
        <v>20</v>
      </c>
      <c r="H131">
        <v>1.82</v>
      </c>
      <c r="I131">
        <v>45.438400000000001</v>
      </c>
      <c r="J131">
        <v>10.9916</v>
      </c>
      <c r="K131">
        <v>46.074800000000003</v>
      </c>
      <c r="L131">
        <v>11.121700000000001</v>
      </c>
      <c r="M131" s="7">
        <f t="shared" si="2"/>
        <v>71.480621044461714</v>
      </c>
      <c r="N131" s="7">
        <f>TBL_VIAGGI[[#This Row],[Km percosi-Linea d''aria]]*1.25</f>
        <v>89.350776305577142</v>
      </c>
      <c r="O131"/>
      <c r="P131"/>
      <c r="R131"/>
    </row>
    <row r="132" spans="1:18" x14ac:dyDescent="0.3">
      <c r="A132" s="1">
        <v>45404</v>
      </c>
      <c r="B132" s="7" t="s">
        <v>22</v>
      </c>
      <c r="C132" s="7" t="s">
        <v>24</v>
      </c>
      <c r="D132" s="7" t="s">
        <v>11</v>
      </c>
      <c r="E132" s="7" t="s">
        <v>18</v>
      </c>
      <c r="F132" s="7" t="s">
        <v>13</v>
      </c>
      <c r="G132">
        <v>20</v>
      </c>
      <c r="H132">
        <v>1.94</v>
      </c>
      <c r="I132">
        <v>45.438400000000001</v>
      </c>
      <c r="J132">
        <v>10.9916</v>
      </c>
      <c r="K132">
        <v>45.541600000000003</v>
      </c>
      <c r="L132">
        <v>10.2118</v>
      </c>
      <c r="M132" s="7">
        <f t="shared" si="2"/>
        <v>61.859907199936103</v>
      </c>
      <c r="N132" s="7">
        <f>TBL_VIAGGI[[#This Row],[Km percosi-Linea d''aria]]*1.25</f>
        <v>77.324883999920132</v>
      </c>
      <c r="O132"/>
      <c r="P132"/>
      <c r="R132"/>
    </row>
    <row r="133" spans="1:18" x14ac:dyDescent="0.3">
      <c r="A133" s="1">
        <v>45507</v>
      </c>
      <c r="B133" s="7" t="s">
        <v>9</v>
      </c>
      <c r="C133" s="7" t="s">
        <v>24</v>
      </c>
      <c r="D133" s="7" t="s">
        <v>11</v>
      </c>
      <c r="E133" s="7" t="s">
        <v>16</v>
      </c>
      <c r="F133" s="7" t="s">
        <v>13</v>
      </c>
      <c r="G133">
        <v>20</v>
      </c>
      <c r="H133">
        <v>1.75</v>
      </c>
      <c r="I133">
        <v>45.438400000000001</v>
      </c>
      <c r="J133">
        <v>10.9916</v>
      </c>
      <c r="K133">
        <v>45.545499999999997</v>
      </c>
      <c r="L133">
        <v>11.535399999999999</v>
      </c>
      <c r="M133" s="7">
        <f t="shared" si="2"/>
        <v>44.029532629220121</v>
      </c>
      <c r="N133" s="7">
        <f>TBL_VIAGGI[[#This Row],[Km percosi-Linea d''aria]]*1.25</f>
        <v>55.036915786525149</v>
      </c>
      <c r="O133"/>
      <c r="P133"/>
      <c r="R133"/>
    </row>
    <row r="134" spans="1:18" x14ac:dyDescent="0.3">
      <c r="A134" s="1">
        <v>45329</v>
      </c>
      <c r="B134" s="7" t="s">
        <v>28</v>
      </c>
      <c r="C134" s="7" t="s">
        <v>17</v>
      </c>
      <c r="D134" s="7" t="s">
        <v>11</v>
      </c>
      <c r="E134" s="7" t="s">
        <v>16</v>
      </c>
      <c r="F134" s="7" t="s">
        <v>21</v>
      </c>
      <c r="G134">
        <v>16</v>
      </c>
      <c r="H134">
        <v>2.02</v>
      </c>
      <c r="I134">
        <v>45.438400000000001</v>
      </c>
      <c r="J134">
        <v>10.9916</v>
      </c>
      <c r="K134">
        <v>45.545499999999997</v>
      </c>
      <c r="L134">
        <v>11.535399999999999</v>
      </c>
      <c r="M134" s="7">
        <f t="shared" si="2"/>
        <v>44.029532629220121</v>
      </c>
      <c r="N134" s="7">
        <f>TBL_VIAGGI[[#This Row],[Km percosi-Linea d''aria]]*1.25</f>
        <v>55.036915786525149</v>
      </c>
      <c r="O134"/>
      <c r="P134"/>
      <c r="R134"/>
    </row>
    <row r="135" spans="1:18" x14ac:dyDescent="0.3">
      <c r="A135" s="1">
        <v>45318</v>
      </c>
      <c r="B135" s="7" t="s">
        <v>14</v>
      </c>
      <c r="C135" s="7" t="s">
        <v>24</v>
      </c>
      <c r="D135" s="7" t="s">
        <v>11</v>
      </c>
      <c r="E135" s="7" t="s">
        <v>16</v>
      </c>
      <c r="F135" s="7" t="s">
        <v>25</v>
      </c>
      <c r="G135">
        <v>18</v>
      </c>
      <c r="H135">
        <v>1.91</v>
      </c>
      <c r="I135">
        <v>45.438400000000001</v>
      </c>
      <c r="J135">
        <v>10.9916</v>
      </c>
      <c r="K135">
        <v>45.545499999999997</v>
      </c>
      <c r="L135">
        <v>11.535399999999999</v>
      </c>
      <c r="M135" s="7">
        <f t="shared" si="2"/>
        <v>44.029532629220121</v>
      </c>
      <c r="N135" s="7">
        <f>TBL_VIAGGI[[#This Row],[Km percosi-Linea d''aria]]*1.25</f>
        <v>55.036915786525149</v>
      </c>
      <c r="O135"/>
      <c r="P135"/>
      <c r="R135"/>
    </row>
    <row r="136" spans="1:18" x14ac:dyDescent="0.3">
      <c r="A136" s="1">
        <v>45295</v>
      </c>
      <c r="B136" s="7" t="s">
        <v>9</v>
      </c>
      <c r="C136" s="7" t="s">
        <v>10</v>
      </c>
      <c r="D136" s="7" t="s">
        <v>11</v>
      </c>
      <c r="E136" s="7" t="s">
        <v>23</v>
      </c>
      <c r="F136" s="7" t="s">
        <v>19</v>
      </c>
      <c r="G136">
        <v>14</v>
      </c>
      <c r="H136">
        <v>2.06</v>
      </c>
      <c r="I136">
        <v>45.438400000000001</v>
      </c>
      <c r="J136">
        <v>10.9916</v>
      </c>
      <c r="K136">
        <v>46.074800000000003</v>
      </c>
      <c r="L136">
        <v>11.121700000000001</v>
      </c>
      <c r="M136" s="7">
        <f t="shared" si="2"/>
        <v>71.480621044461714</v>
      </c>
      <c r="N136" s="7">
        <f>TBL_VIAGGI[[#This Row],[Km percosi-Linea d''aria]]*1.25</f>
        <v>89.350776305577142</v>
      </c>
      <c r="O136"/>
      <c r="P136"/>
      <c r="R136"/>
    </row>
    <row r="137" spans="1:18" x14ac:dyDescent="0.3">
      <c r="A137" s="1">
        <v>45441</v>
      </c>
      <c r="B137" s="7" t="s">
        <v>22</v>
      </c>
      <c r="C137" s="7" t="s">
        <v>17</v>
      </c>
      <c r="D137" s="7" t="s">
        <v>11</v>
      </c>
      <c r="E137" s="7" t="s">
        <v>23</v>
      </c>
      <c r="F137" s="7" t="s">
        <v>25</v>
      </c>
      <c r="G137">
        <v>18</v>
      </c>
      <c r="H137">
        <v>2.0099999999999998</v>
      </c>
      <c r="I137">
        <v>45.438400000000001</v>
      </c>
      <c r="J137">
        <v>10.9916</v>
      </c>
      <c r="K137">
        <v>46.074800000000003</v>
      </c>
      <c r="L137">
        <v>11.121700000000001</v>
      </c>
      <c r="M137" s="7">
        <f t="shared" si="2"/>
        <v>71.480621044461714</v>
      </c>
      <c r="N137" s="7">
        <f>TBL_VIAGGI[[#This Row],[Km percosi-Linea d''aria]]*1.25</f>
        <v>89.350776305577142</v>
      </c>
      <c r="O137"/>
      <c r="P137"/>
      <c r="R137"/>
    </row>
    <row r="138" spans="1:18" x14ac:dyDescent="0.3">
      <c r="A138" s="1">
        <v>45332</v>
      </c>
      <c r="B138" s="7" t="s">
        <v>28</v>
      </c>
      <c r="C138" s="7" t="s">
        <v>26</v>
      </c>
      <c r="D138" s="7" t="s">
        <v>11</v>
      </c>
      <c r="E138" s="7" t="s">
        <v>18</v>
      </c>
      <c r="F138" s="7" t="s">
        <v>19</v>
      </c>
      <c r="G138">
        <v>14</v>
      </c>
      <c r="H138">
        <v>1.76</v>
      </c>
      <c r="I138">
        <v>45.438400000000001</v>
      </c>
      <c r="J138">
        <v>10.9916</v>
      </c>
      <c r="K138">
        <v>45.541600000000003</v>
      </c>
      <c r="L138">
        <v>10.2118</v>
      </c>
      <c r="M138" s="7">
        <f t="shared" si="2"/>
        <v>61.859907199936103</v>
      </c>
      <c r="N138" s="7">
        <f>TBL_VIAGGI[[#This Row],[Km percosi-Linea d''aria]]*1.25</f>
        <v>77.324883999920132</v>
      </c>
      <c r="O138"/>
      <c r="P138"/>
      <c r="R138"/>
    </row>
    <row r="139" spans="1:18" x14ac:dyDescent="0.3">
      <c r="A139" s="1">
        <v>45515</v>
      </c>
      <c r="B139" s="7" t="s">
        <v>14</v>
      </c>
      <c r="C139" s="7" t="s">
        <v>17</v>
      </c>
      <c r="D139" s="7" t="s">
        <v>11</v>
      </c>
      <c r="E139" s="7" t="s">
        <v>18</v>
      </c>
      <c r="F139" s="7" t="s">
        <v>25</v>
      </c>
      <c r="G139">
        <v>18</v>
      </c>
      <c r="H139">
        <v>1.9</v>
      </c>
      <c r="I139">
        <v>45.438400000000001</v>
      </c>
      <c r="J139">
        <v>10.9916</v>
      </c>
      <c r="K139">
        <v>45.541600000000003</v>
      </c>
      <c r="L139">
        <v>10.2118</v>
      </c>
      <c r="M139" s="7">
        <f t="shared" si="2"/>
        <v>61.859907199936103</v>
      </c>
      <c r="N139" s="7">
        <f>TBL_VIAGGI[[#This Row],[Km percosi-Linea d''aria]]*1.25</f>
        <v>77.324883999920132</v>
      </c>
      <c r="O139"/>
      <c r="P139"/>
      <c r="R139"/>
    </row>
    <row r="140" spans="1:18" x14ac:dyDescent="0.3">
      <c r="A140" s="1">
        <v>45424</v>
      </c>
      <c r="B140" s="7" t="s">
        <v>9</v>
      </c>
      <c r="C140" s="7" t="s">
        <v>17</v>
      </c>
      <c r="D140" s="7" t="s">
        <v>11</v>
      </c>
      <c r="E140" s="7" t="s">
        <v>12</v>
      </c>
      <c r="F140" s="7" t="s">
        <v>13</v>
      </c>
      <c r="G140">
        <v>20</v>
      </c>
      <c r="H140">
        <v>1.78</v>
      </c>
      <c r="I140">
        <v>45.438400000000001</v>
      </c>
      <c r="J140">
        <v>10.9916</v>
      </c>
      <c r="K140">
        <v>45.406399999999998</v>
      </c>
      <c r="L140">
        <v>11.876799999999999</v>
      </c>
      <c r="M140" s="7">
        <f t="shared" si="2"/>
        <v>69.17656464510614</v>
      </c>
      <c r="N140" s="7">
        <f>TBL_VIAGGI[[#This Row],[Km percosi-Linea d''aria]]*1.25</f>
        <v>86.470705806382682</v>
      </c>
      <c r="O140"/>
      <c r="P140"/>
      <c r="R140"/>
    </row>
    <row r="141" spans="1:18" x14ac:dyDescent="0.3">
      <c r="A141" s="1">
        <v>45542</v>
      </c>
      <c r="B141" s="7" t="s">
        <v>27</v>
      </c>
      <c r="C141" s="7" t="s">
        <v>10</v>
      </c>
      <c r="D141" s="7" t="s">
        <v>11</v>
      </c>
      <c r="E141" s="7" t="s">
        <v>16</v>
      </c>
      <c r="F141" s="7" t="s">
        <v>25</v>
      </c>
      <c r="G141">
        <v>18</v>
      </c>
      <c r="H141">
        <v>2.02</v>
      </c>
      <c r="I141">
        <v>45.438400000000001</v>
      </c>
      <c r="J141">
        <v>10.9916</v>
      </c>
      <c r="K141">
        <v>45.545499999999997</v>
      </c>
      <c r="L141">
        <v>11.535399999999999</v>
      </c>
      <c r="M141" s="7">
        <f t="shared" si="2"/>
        <v>44.029532629220121</v>
      </c>
      <c r="N141" s="7">
        <f>TBL_VIAGGI[[#This Row],[Km percosi-Linea d''aria]]*1.25</f>
        <v>55.036915786525149</v>
      </c>
      <c r="O141"/>
      <c r="P141"/>
      <c r="R141"/>
    </row>
    <row r="142" spans="1:18" x14ac:dyDescent="0.3">
      <c r="A142" s="1">
        <v>45458</v>
      </c>
      <c r="B142" s="7" t="s">
        <v>14</v>
      </c>
      <c r="C142" s="7" t="s">
        <v>17</v>
      </c>
      <c r="D142" s="7" t="s">
        <v>11</v>
      </c>
      <c r="E142" s="7" t="s">
        <v>20</v>
      </c>
      <c r="F142" s="7" t="s">
        <v>21</v>
      </c>
      <c r="G142">
        <v>16</v>
      </c>
      <c r="H142">
        <v>1.99</v>
      </c>
      <c r="I142">
        <v>45.438400000000001</v>
      </c>
      <c r="J142">
        <v>10.9916</v>
      </c>
      <c r="K142">
        <v>45.156399999999998</v>
      </c>
      <c r="L142">
        <v>10.791399999999999</v>
      </c>
      <c r="M142" s="7">
        <f t="shared" si="2"/>
        <v>35.049482425494702</v>
      </c>
      <c r="N142" s="7">
        <f>TBL_VIAGGI[[#This Row],[Km percosi-Linea d''aria]]*1.25</f>
        <v>43.811853031868381</v>
      </c>
      <c r="O142"/>
      <c r="P142"/>
      <c r="R142"/>
    </row>
    <row r="143" spans="1:18" x14ac:dyDescent="0.3">
      <c r="A143" s="1">
        <v>45334</v>
      </c>
      <c r="B143" s="7" t="s">
        <v>22</v>
      </c>
      <c r="C143" s="7" t="s">
        <v>15</v>
      </c>
      <c r="D143" s="7" t="s">
        <v>11</v>
      </c>
      <c r="E143" s="7" t="s">
        <v>20</v>
      </c>
      <c r="F143" s="7" t="s">
        <v>21</v>
      </c>
      <c r="G143">
        <v>16</v>
      </c>
      <c r="H143">
        <v>1.94</v>
      </c>
      <c r="I143">
        <v>45.438400000000001</v>
      </c>
      <c r="J143">
        <v>10.9916</v>
      </c>
      <c r="K143">
        <v>45.156399999999998</v>
      </c>
      <c r="L143">
        <v>10.791399999999999</v>
      </c>
      <c r="M143" s="7">
        <f t="shared" si="2"/>
        <v>35.049482425494702</v>
      </c>
      <c r="N143" s="7">
        <f>TBL_VIAGGI[[#This Row],[Km percosi-Linea d''aria]]*1.25</f>
        <v>43.811853031868381</v>
      </c>
      <c r="O143"/>
      <c r="P143"/>
      <c r="R143"/>
    </row>
    <row r="144" spans="1:18" x14ac:dyDescent="0.3">
      <c r="A144" s="1">
        <v>45417</v>
      </c>
      <c r="B144" s="7" t="s">
        <v>28</v>
      </c>
      <c r="C144" s="7" t="s">
        <v>10</v>
      </c>
      <c r="D144" s="7" t="s">
        <v>11</v>
      </c>
      <c r="E144" s="7" t="s">
        <v>16</v>
      </c>
      <c r="F144" s="7" t="s">
        <v>25</v>
      </c>
      <c r="G144">
        <v>18</v>
      </c>
      <c r="H144">
        <v>2.0699999999999998</v>
      </c>
      <c r="I144">
        <v>45.438400000000001</v>
      </c>
      <c r="J144">
        <v>10.9916</v>
      </c>
      <c r="K144">
        <v>45.545499999999997</v>
      </c>
      <c r="L144">
        <v>11.535399999999999</v>
      </c>
      <c r="M144" s="7">
        <f t="shared" si="2"/>
        <v>44.029532629220121</v>
      </c>
      <c r="N144" s="7">
        <f>TBL_VIAGGI[[#This Row],[Km percosi-Linea d''aria]]*1.25</f>
        <v>55.036915786525149</v>
      </c>
      <c r="O144"/>
      <c r="P144"/>
      <c r="R144"/>
    </row>
    <row r="145" spans="1:18" x14ac:dyDescent="0.3">
      <c r="A145" s="1">
        <v>45608</v>
      </c>
      <c r="B145" s="7" t="s">
        <v>22</v>
      </c>
      <c r="C145" s="7" t="s">
        <v>26</v>
      </c>
      <c r="D145" s="7" t="s">
        <v>11</v>
      </c>
      <c r="E145" s="7" t="s">
        <v>29</v>
      </c>
      <c r="F145" s="7" t="s">
        <v>21</v>
      </c>
      <c r="G145">
        <v>16</v>
      </c>
      <c r="H145">
        <v>2.09</v>
      </c>
      <c r="I145">
        <v>45.438400000000001</v>
      </c>
      <c r="J145">
        <v>10.9916</v>
      </c>
      <c r="K145">
        <v>45.464199999999998</v>
      </c>
      <c r="L145">
        <v>9.19</v>
      </c>
      <c r="M145" s="7">
        <f t="shared" si="2"/>
        <v>140.56002944653866</v>
      </c>
      <c r="N145" s="7">
        <f>TBL_VIAGGI[[#This Row],[Km percosi-Linea d''aria]]*1.25</f>
        <v>175.70003680817334</v>
      </c>
      <c r="O145"/>
      <c r="P145"/>
      <c r="R145"/>
    </row>
    <row r="146" spans="1:18" x14ac:dyDescent="0.3">
      <c r="A146" s="1">
        <v>45557</v>
      </c>
      <c r="B146" s="7" t="s">
        <v>14</v>
      </c>
      <c r="C146" s="7" t="s">
        <v>26</v>
      </c>
      <c r="D146" s="7" t="s">
        <v>11</v>
      </c>
      <c r="E146" s="7" t="s">
        <v>29</v>
      </c>
      <c r="F146" s="7" t="s">
        <v>19</v>
      </c>
      <c r="G146">
        <v>14</v>
      </c>
      <c r="H146">
        <v>1.99</v>
      </c>
      <c r="I146">
        <v>45.438400000000001</v>
      </c>
      <c r="J146">
        <v>10.9916</v>
      </c>
      <c r="K146">
        <v>45.464199999999998</v>
      </c>
      <c r="L146">
        <v>9.19</v>
      </c>
      <c r="M146" s="7">
        <f t="shared" si="2"/>
        <v>140.56002944653866</v>
      </c>
      <c r="N146" s="7">
        <f>TBL_VIAGGI[[#This Row],[Km percosi-Linea d''aria]]*1.25</f>
        <v>175.70003680817334</v>
      </c>
      <c r="O146"/>
      <c r="P146"/>
      <c r="R146"/>
    </row>
    <row r="147" spans="1:18" x14ac:dyDescent="0.3">
      <c r="A147" s="1">
        <v>45581</v>
      </c>
      <c r="B147" s="7" t="s">
        <v>14</v>
      </c>
      <c r="C147" s="7" t="s">
        <v>17</v>
      </c>
      <c r="D147" s="7" t="s">
        <v>11</v>
      </c>
      <c r="E147" s="7" t="s">
        <v>20</v>
      </c>
      <c r="F147" s="7" t="s">
        <v>19</v>
      </c>
      <c r="G147">
        <v>14</v>
      </c>
      <c r="H147">
        <v>1.91</v>
      </c>
      <c r="I147">
        <v>45.438400000000001</v>
      </c>
      <c r="J147">
        <v>10.9916</v>
      </c>
      <c r="K147">
        <v>45.156399999999998</v>
      </c>
      <c r="L147">
        <v>10.791399999999999</v>
      </c>
      <c r="M147" s="7">
        <f t="shared" si="2"/>
        <v>35.049482425494702</v>
      </c>
      <c r="N147" s="7">
        <f>TBL_VIAGGI[[#This Row],[Km percosi-Linea d''aria]]*1.25</f>
        <v>43.811853031868381</v>
      </c>
      <c r="O147"/>
      <c r="P147"/>
      <c r="R147"/>
    </row>
    <row r="148" spans="1:18" x14ac:dyDescent="0.3">
      <c r="A148" s="1">
        <v>45647</v>
      </c>
      <c r="B148" s="7" t="s">
        <v>22</v>
      </c>
      <c r="C148" s="7" t="s">
        <v>10</v>
      </c>
      <c r="D148" s="7" t="s">
        <v>11</v>
      </c>
      <c r="E148" s="7" t="s">
        <v>18</v>
      </c>
      <c r="F148" s="7" t="s">
        <v>19</v>
      </c>
      <c r="G148">
        <v>14</v>
      </c>
      <c r="H148">
        <v>1.84</v>
      </c>
      <c r="I148">
        <v>45.438400000000001</v>
      </c>
      <c r="J148">
        <v>10.9916</v>
      </c>
      <c r="K148">
        <v>45.541600000000003</v>
      </c>
      <c r="L148">
        <v>10.2118</v>
      </c>
      <c r="M148" s="7">
        <f t="shared" si="2"/>
        <v>61.859907199936103</v>
      </c>
      <c r="N148" s="7">
        <f>TBL_VIAGGI[[#This Row],[Km percosi-Linea d''aria]]*1.25</f>
        <v>77.324883999920132</v>
      </c>
      <c r="O148"/>
      <c r="P148"/>
      <c r="R148"/>
    </row>
    <row r="149" spans="1:18" x14ac:dyDescent="0.3">
      <c r="A149" s="1">
        <v>45495</v>
      </c>
      <c r="B149" s="7" t="s">
        <v>9</v>
      </c>
      <c r="C149" s="7" t="s">
        <v>26</v>
      </c>
      <c r="D149" s="7" t="s">
        <v>11</v>
      </c>
      <c r="E149" s="7" t="s">
        <v>16</v>
      </c>
      <c r="F149" s="7" t="s">
        <v>19</v>
      </c>
      <c r="G149">
        <v>14</v>
      </c>
      <c r="H149">
        <v>2.08</v>
      </c>
      <c r="I149">
        <v>45.438400000000001</v>
      </c>
      <c r="J149">
        <v>10.9916</v>
      </c>
      <c r="K149">
        <v>45.545499999999997</v>
      </c>
      <c r="L149">
        <v>11.535399999999999</v>
      </c>
      <c r="M149" s="7">
        <f t="shared" si="2"/>
        <v>44.029532629220121</v>
      </c>
      <c r="N149" s="7">
        <f>TBL_VIAGGI[[#This Row],[Km percosi-Linea d''aria]]*1.25</f>
        <v>55.036915786525149</v>
      </c>
      <c r="O149"/>
      <c r="P149"/>
      <c r="R149"/>
    </row>
    <row r="150" spans="1:18" x14ac:dyDescent="0.3">
      <c r="A150" s="1">
        <v>45559</v>
      </c>
      <c r="B150" s="7" t="s">
        <v>9</v>
      </c>
      <c r="C150" s="7" t="s">
        <v>26</v>
      </c>
      <c r="D150" s="7" t="s">
        <v>11</v>
      </c>
      <c r="E150" s="7" t="s">
        <v>16</v>
      </c>
      <c r="F150" s="7" t="s">
        <v>19</v>
      </c>
      <c r="G150">
        <v>14</v>
      </c>
      <c r="H150">
        <v>1.94</v>
      </c>
      <c r="I150">
        <v>45.438400000000001</v>
      </c>
      <c r="J150">
        <v>10.9916</v>
      </c>
      <c r="K150">
        <v>45.545499999999997</v>
      </c>
      <c r="L150">
        <v>11.535399999999999</v>
      </c>
      <c r="M150" s="7">
        <f t="shared" si="2"/>
        <v>44.029532629220121</v>
      </c>
      <c r="N150" s="7">
        <f>TBL_VIAGGI[[#This Row],[Km percosi-Linea d''aria]]*1.25</f>
        <v>55.036915786525149</v>
      </c>
      <c r="O150"/>
      <c r="P150"/>
      <c r="R150"/>
    </row>
    <row r="151" spans="1:18" x14ac:dyDescent="0.3">
      <c r="A151" s="1">
        <v>45383</v>
      </c>
      <c r="B151" s="7" t="s">
        <v>9</v>
      </c>
      <c r="C151" s="7" t="s">
        <v>24</v>
      </c>
      <c r="D151" s="7" t="s">
        <v>11</v>
      </c>
      <c r="E151" s="7" t="s">
        <v>12</v>
      </c>
      <c r="F151" s="7" t="s">
        <v>19</v>
      </c>
      <c r="G151">
        <v>14</v>
      </c>
      <c r="H151">
        <v>1.89</v>
      </c>
      <c r="I151">
        <v>45.438400000000001</v>
      </c>
      <c r="J151">
        <v>10.9916</v>
      </c>
      <c r="K151">
        <v>45.406399999999998</v>
      </c>
      <c r="L151">
        <v>11.876799999999999</v>
      </c>
      <c r="M151" s="7">
        <f t="shared" si="2"/>
        <v>69.17656464510614</v>
      </c>
      <c r="N151" s="7">
        <f>TBL_VIAGGI[[#This Row],[Km percosi-Linea d''aria]]*1.25</f>
        <v>86.470705806382682</v>
      </c>
      <c r="O151"/>
      <c r="P151"/>
      <c r="R151"/>
    </row>
    <row r="152" spans="1:18" x14ac:dyDescent="0.3">
      <c r="A152" s="1">
        <v>45547</v>
      </c>
      <c r="B152" s="7" t="s">
        <v>28</v>
      </c>
      <c r="C152" s="7" t="s">
        <v>31</v>
      </c>
      <c r="D152" s="7" t="s">
        <v>11</v>
      </c>
      <c r="E152" s="7" t="s">
        <v>12</v>
      </c>
      <c r="F152" s="7" t="s">
        <v>21</v>
      </c>
      <c r="G152">
        <v>16</v>
      </c>
      <c r="H152">
        <v>1.83</v>
      </c>
      <c r="I152">
        <v>45.438400000000001</v>
      </c>
      <c r="J152">
        <v>10.9916</v>
      </c>
      <c r="K152">
        <v>45.406399999999998</v>
      </c>
      <c r="L152">
        <v>11.876799999999999</v>
      </c>
      <c r="M152" s="7">
        <f t="shared" si="2"/>
        <v>69.17656464510614</v>
      </c>
      <c r="N152" s="7">
        <f>TBL_VIAGGI[[#This Row],[Km percosi-Linea d''aria]]*1.25</f>
        <v>86.470705806382682</v>
      </c>
      <c r="O152"/>
      <c r="P152"/>
      <c r="R152"/>
    </row>
    <row r="153" spans="1:18" x14ac:dyDescent="0.3">
      <c r="A153" s="1">
        <v>45460</v>
      </c>
      <c r="B153" s="7" t="s">
        <v>27</v>
      </c>
      <c r="C153" s="7" t="s">
        <v>15</v>
      </c>
      <c r="D153" s="7" t="s">
        <v>11</v>
      </c>
      <c r="E153" s="7" t="s">
        <v>18</v>
      </c>
      <c r="F153" s="7" t="s">
        <v>25</v>
      </c>
      <c r="G153">
        <v>18</v>
      </c>
      <c r="H153">
        <v>1.87</v>
      </c>
      <c r="I153">
        <v>45.438400000000001</v>
      </c>
      <c r="J153">
        <v>10.9916</v>
      </c>
      <c r="K153">
        <v>45.541600000000003</v>
      </c>
      <c r="L153">
        <v>10.2118</v>
      </c>
      <c r="M153" s="7">
        <f t="shared" si="2"/>
        <v>61.859907199936103</v>
      </c>
      <c r="N153" s="7">
        <f>TBL_VIAGGI[[#This Row],[Km percosi-Linea d''aria]]*1.25</f>
        <v>77.324883999920132</v>
      </c>
      <c r="O153"/>
      <c r="P153"/>
      <c r="R153"/>
    </row>
    <row r="154" spans="1:18" x14ac:dyDescent="0.3">
      <c r="A154" s="1">
        <v>45627</v>
      </c>
      <c r="B154" s="7" t="s">
        <v>22</v>
      </c>
      <c r="C154" s="7" t="s">
        <v>31</v>
      </c>
      <c r="D154" s="7" t="s">
        <v>11</v>
      </c>
      <c r="E154" s="7" t="s">
        <v>12</v>
      </c>
      <c r="F154" s="7" t="s">
        <v>25</v>
      </c>
      <c r="G154">
        <v>18</v>
      </c>
      <c r="H154">
        <v>1.84</v>
      </c>
      <c r="I154">
        <v>45.438400000000001</v>
      </c>
      <c r="J154">
        <v>10.9916</v>
      </c>
      <c r="K154">
        <v>45.406399999999998</v>
      </c>
      <c r="L154">
        <v>11.876799999999999</v>
      </c>
      <c r="M154" s="7">
        <f t="shared" si="2"/>
        <v>69.17656464510614</v>
      </c>
      <c r="N154" s="7">
        <f>TBL_VIAGGI[[#This Row],[Km percosi-Linea d''aria]]*1.25</f>
        <v>86.470705806382682</v>
      </c>
      <c r="O154"/>
      <c r="P154"/>
      <c r="R154"/>
    </row>
    <row r="155" spans="1:18" x14ac:dyDescent="0.3">
      <c r="A155" s="1">
        <v>45493</v>
      </c>
      <c r="B155" s="7" t="s">
        <v>27</v>
      </c>
      <c r="C155" s="7" t="s">
        <v>17</v>
      </c>
      <c r="D155" s="7" t="s">
        <v>11</v>
      </c>
      <c r="E155" s="7" t="s">
        <v>30</v>
      </c>
      <c r="F155" s="7" t="s">
        <v>21</v>
      </c>
      <c r="G155">
        <v>16</v>
      </c>
      <c r="H155">
        <v>2.04</v>
      </c>
      <c r="I155">
        <v>45.438400000000001</v>
      </c>
      <c r="J155">
        <v>10.9916</v>
      </c>
      <c r="K155">
        <v>44.494900000000001</v>
      </c>
      <c r="L155">
        <v>11.342599999999999</v>
      </c>
      <c r="M155" s="7">
        <f t="shared" si="2"/>
        <v>108.4853856935753</v>
      </c>
      <c r="N155" s="7">
        <f>TBL_VIAGGI[[#This Row],[Km percosi-Linea d''aria]]*1.25</f>
        <v>135.60673211696911</v>
      </c>
      <c r="O155"/>
      <c r="P155"/>
      <c r="R155"/>
    </row>
    <row r="156" spans="1:18" x14ac:dyDescent="0.3">
      <c r="A156" s="1">
        <v>45582</v>
      </c>
      <c r="B156" s="7" t="s">
        <v>28</v>
      </c>
      <c r="C156" s="7" t="s">
        <v>15</v>
      </c>
      <c r="D156" s="7" t="s">
        <v>11</v>
      </c>
      <c r="E156" s="7" t="s">
        <v>16</v>
      </c>
      <c r="F156" s="7" t="s">
        <v>25</v>
      </c>
      <c r="G156">
        <v>18</v>
      </c>
      <c r="H156">
        <v>1.92</v>
      </c>
      <c r="I156">
        <v>45.438400000000001</v>
      </c>
      <c r="J156">
        <v>10.9916</v>
      </c>
      <c r="K156">
        <v>45.545499999999997</v>
      </c>
      <c r="L156">
        <v>11.535399999999999</v>
      </c>
      <c r="M156" s="7">
        <f t="shared" si="2"/>
        <v>44.029532629220121</v>
      </c>
      <c r="N156" s="7">
        <f>TBL_VIAGGI[[#This Row],[Km percosi-Linea d''aria]]*1.25</f>
        <v>55.036915786525149</v>
      </c>
      <c r="O156"/>
      <c r="P156"/>
      <c r="R156"/>
    </row>
    <row r="157" spans="1:18" x14ac:dyDescent="0.3">
      <c r="A157" s="1">
        <v>45320</v>
      </c>
      <c r="B157" s="7" t="s">
        <v>28</v>
      </c>
      <c r="C157" s="7" t="s">
        <v>10</v>
      </c>
      <c r="D157" s="7" t="s">
        <v>11</v>
      </c>
      <c r="E157" s="7" t="s">
        <v>29</v>
      </c>
      <c r="F157" s="7" t="s">
        <v>25</v>
      </c>
      <c r="G157">
        <v>18</v>
      </c>
      <c r="H157">
        <v>2.0099999999999998</v>
      </c>
      <c r="I157">
        <v>45.438400000000001</v>
      </c>
      <c r="J157">
        <v>10.9916</v>
      </c>
      <c r="K157">
        <v>45.464199999999998</v>
      </c>
      <c r="L157">
        <v>9.19</v>
      </c>
      <c r="M157" s="7">
        <f t="shared" si="2"/>
        <v>140.56002944653866</v>
      </c>
      <c r="N157" s="7">
        <f>TBL_VIAGGI[[#This Row],[Km percosi-Linea d''aria]]*1.25</f>
        <v>175.70003680817334</v>
      </c>
      <c r="O157"/>
      <c r="P157"/>
      <c r="R157"/>
    </row>
    <row r="158" spans="1:18" x14ac:dyDescent="0.3">
      <c r="A158" s="1">
        <v>45602</v>
      </c>
      <c r="B158" s="7" t="s">
        <v>28</v>
      </c>
      <c r="C158" s="7" t="s">
        <v>10</v>
      </c>
      <c r="D158" s="7" t="s">
        <v>11</v>
      </c>
      <c r="E158" s="7" t="s">
        <v>12</v>
      </c>
      <c r="F158" s="7" t="s">
        <v>13</v>
      </c>
      <c r="G158">
        <v>20</v>
      </c>
      <c r="H158">
        <v>1.92</v>
      </c>
      <c r="I158">
        <v>45.438400000000001</v>
      </c>
      <c r="J158">
        <v>10.9916</v>
      </c>
      <c r="K158">
        <v>45.406399999999998</v>
      </c>
      <c r="L158">
        <v>11.876799999999999</v>
      </c>
      <c r="M158" s="7">
        <f t="shared" si="2"/>
        <v>69.17656464510614</v>
      </c>
      <c r="N158" s="7">
        <f>TBL_VIAGGI[[#This Row],[Km percosi-Linea d''aria]]*1.25</f>
        <v>86.470705806382682</v>
      </c>
      <c r="O158"/>
      <c r="P158"/>
      <c r="R158"/>
    </row>
    <row r="159" spans="1:18" x14ac:dyDescent="0.3">
      <c r="A159" s="1">
        <v>45353</v>
      </c>
      <c r="B159" s="7" t="s">
        <v>27</v>
      </c>
      <c r="C159" s="7" t="s">
        <v>31</v>
      </c>
      <c r="D159" s="7" t="s">
        <v>11</v>
      </c>
      <c r="E159" s="7" t="s">
        <v>16</v>
      </c>
      <c r="F159" s="7" t="s">
        <v>19</v>
      </c>
      <c r="G159">
        <v>14</v>
      </c>
      <c r="H159">
        <v>2</v>
      </c>
      <c r="I159">
        <v>45.438400000000001</v>
      </c>
      <c r="J159">
        <v>10.9916</v>
      </c>
      <c r="K159">
        <v>45.545499999999997</v>
      </c>
      <c r="L159">
        <v>11.535399999999999</v>
      </c>
      <c r="M159" s="7">
        <f t="shared" si="2"/>
        <v>44.029532629220121</v>
      </c>
      <c r="N159" s="7">
        <f>TBL_VIAGGI[[#This Row],[Km percosi-Linea d''aria]]*1.25</f>
        <v>55.036915786525149</v>
      </c>
      <c r="O159"/>
      <c r="P159"/>
      <c r="R159"/>
    </row>
    <row r="160" spans="1:18" x14ac:dyDescent="0.3">
      <c r="A160" s="1">
        <v>45322</v>
      </c>
      <c r="B160" s="7" t="s">
        <v>28</v>
      </c>
      <c r="C160" s="7" t="s">
        <v>24</v>
      </c>
      <c r="D160" s="7" t="s">
        <v>11</v>
      </c>
      <c r="E160" s="7" t="s">
        <v>29</v>
      </c>
      <c r="F160" s="7" t="s">
        <v>19</v>
      </c>
      <c r="G160">
        <v>14</v>
      </c>
      <c r="H160">
        <v>2.09</v>
      </c>
      <c r="I160">
        <v>45.438400000000001</v>
      </c>
      <c r="J160">
        <v>10.9916</v>
      </c>
      <c r="K160">
        <v>45.464199999999998</v>
      </c>
      <c r="L160">
        <v>9.19</v>
      </c>
      <c r="M160" s="7">
        <f t="shared" si="2"/>
        <v>140.56002944653866</v>
      </c>
      <c r="N160" s="7">
        <f>TBL_VIAGGI[[#This Row],[Km percosi-Linea d''aria]]*1.25</f>
        <v>175.70003680817334</v>
      </c>
      <c r="O160"/>
      <c r="P160"/>
      <c r="R160"/>
    </row>
    <row r="161" spans="1:18" x14ac:dyDescent="0.3">
      <c r="A161" s="1">
        <v>45483</v>
      </c>
      <c r="B161" s="7" t="s">
        <v>14</v>
      </c>
      <c r="C161" s="7" t="s">
        <v>10</v>
      </c>
      <c r="D161" s="7" t="s">
        <v>11</v>
      </c>
      <c r="E161" s="7" t="s">
        <v>30</v>
      </c>
      <c r="F161" s="7" t="s">
        <v>21</v>
      </c>
      <c r="G161">
        <v>16</v>
      </c>
      <c r="H161">
        <v>1.83</v>
      </c>
      <c r="I161">
        <v>45.438400000000001</v>
      </c>
      <c r="J161">
        <v>10.9916</v>
      </c>
      <c r="K161">
        <v>44.494900000000001</v>
      </c>
      <c r="L161">
        <v>11.342599999999999</v>
      </c>
      <c r="M161" s="7">
        <f t="shared" si="2"/>
        <v>108.4853856935753</v>
      </c>
      <c r="N161" s="7">
        <f>TBL_VIAGGI[[#This Row],[Km percosi-Linea d''aria]]*1.25</f>
        <v>135.60673211696911</v>
      </c>
      <c r="O161"/>
      <c r="P161"/>
      <c r="R161"/>
    </row>
    <row r="162" spans="1:18" x14ac:dyDescent="0.3">
      <c r="A162" s="1">
        <v>45594</v>
      </c>
      <c r="B162" s="7" t="s">
        <v>9</v>
      </c>
      <c r="C162" s="7" t="s">
        <v>31</v>
      </c>
      <c r="D162" s="7" t="s">
        <v>11</v>
      </c>
      <c r="E162" s="7" t="s">
        <v>18</v>
      </c>
      <c r="F162" s="7" t="s">
        <v>21</v>
      </c>
      <c r="G162">
        <v>16</v>
      </c>
      <c r="H162">
        <v>1.78</v>
      </c>
      <c r="I162">
        <v>45.438400000000001</v>
      </c>
      <c r="J162">
        <v>10.9916</v>
      </c>
      <c r="K162">
        <v>45.541600000000003</v>
      </c>
      <c r="L162">
        <v>10.2118</v>
      </c>
      <c r="M162" s="7">
        <f t="shared" si="2"/>
        <v>61.859907199936103</v>
      </c>
      <c r="N162" s="7">
        <f>TBL_VIAGGI[[#This Row],[Km percosi-Linea d''aria]]*1.25</f>
        <v>77.324883999920132</v>
      </c>
      <c r="O162"/>
      <c r="P162"/>
      <c r="R162"/>
    </row>
    <row r="163" spans="1:18" x14ac:dyDescent="0.3">
      <c r="A163" s="1">
        <v>45633</v>
      </c>
      <c r="B163" s="7" t="s">
        <v>28</v>
      </c>
      <c r="C163" s="7" t="s">
        <v>17</v>
      </c>
      <c r="D163" s="7" t="s">
        <v>11</v>
      </c>
      <c r="E163" s="7" t="s">
        <v>30</v>
      </c>
      <c r="F163" s="7" t="s">
        <v>25</v>
      </c>
      <c r="G163">
        <v>18</v>
      </c>
      <c r="H163">
        <v>1.95</v>
      </c>
      <c r="I163">
        <v>45.438400000000001</v>
      </c>
      <c r="J163">
        <v>10.9916</v>
      </c>
      <c r="K163">
        <v>44.494900000000001</v>
      </c>
      <c r="L163">
        <v>11.342599999999999</v>
      </c>
      <c r="M163" s="7">
        <f t="shared" si="2"/>
        <v>108.4853856935753</v>
      </c>
      <c r="N163" s="7">
        <f>TBL_VIAGGI[[#This Row],[Km percosi-Linea d''aria]]*1.25</f>
        <v>135.60673211696911</v>
      </c>
      <c r="O163"/>
      <c r="P163"/>
      <c r="R163"/>
    </row>
    <row r="164" spans="1:18" x14ac:dyDescent="0.3">
      <c r="A164" s="1">
        <v>45363</v>
      </c>
      <c r="B164" s="7" t="s">
        <v>28</v>
      </c>
      <c r="C164" s="7" t="s">
        <v>17</v>
      </c>
      <c r="D164" s="7" t="s">
        <v>11</v>
      </c>
      <c r="E164" s="7" t="s">
        <v>12</v>
      </c>
      <c r="F164" s="7" t="s">
        <v>25</v>
      </c>
      <c r="G164">
        <v>18</v>
      </c>
      <c r="H164">
        <v>1.93</v>
      </c>
      <c r="I164">
        <v>45.438400000000001</v>
      </c>
      <c r="J164">
        <v>10.9916</v>
      </c>
      <c r="K164">
        <v>45.406399999999998</v>
      </c>
      <c r="L164">
        <v>11.876799999999999</v>
      </c>
      <c r="M164" s="7">
        <f t="shared" si="2"/>
        <v>69.17656464510614</v>
      </c>
      <c r="N164" s="7">
        <f>TBL_VIAGGI[[#This Row],[Km percosi-Linea d''aria]]*1.25</f>
        <v>86.470705806382682</v>
      </c>
      <c r="O164"/>
      <c r="P164"/>
      <c r="R164"/>
    </row>
    <row r="165" spans="1:18" x14ac:dyDescent="0.3">
      <c r="A165" s="1">
        <v>45543</v>
      </c>
      <c r="B165" s="7" t="s">
        <v>27</v>
      </c>
      <c r="C165" s="7" t="s">
        <v>15</v>
      </c>
      <c r="D165" s="7" t="s">
        <v>11</v>
      </c>
      <c r="E165" s="7" t="s">
        <v>16</v>
      </c>
      <c r="F165" s="7" t="s">
        <v>19</v>
      </c>
      <c r="G165">
        <v>14</v>
      </c>
      <c r="H165">
        <v>1.76</v>
      </c>
      <c r="I165">
        <v>45.438400000000001</v>
      </c>
      <c r="J165">
        <v>10.9916</v>
      </c>
      <c r="K165">
        <v>45.545499999999997</v>
      </c>
      <c r="L165">
        <v>11.535399999999999</v>
      </c>
      <c r="M165" s="7">
        <f t="shared" si="2"/>
        <v>44.029532629220121</v>
      </c>
      <c r="N165" s="7">
        <f>TBL_VIAGGI[[#This Row],[Km percosi-Linea d''aria]]*1.25</f>
        <v>55.036915786525149</v>
      </c>
      <c r="O165"/>
      <c r="P165"/>
      <c r="R165"/>
    </row>
    <row r="166" spans="1:18" x14ac:dyDescent="0.3">
      <c r="A166" s="1">
        <v>45319</v>
      </c>
      <c r="B166" s="7" t="s">
        <v>27</v>
      </c>
      <c r="C166" s="7" t="s">
        <v>31</v>
      </c>
      <c r="D166" s="7" t="s">
        <v>11</v>
      </c>
      <c r="E166" s="7" t="s">
        <v>20</v>
      </c>
      <c r="F166" s="7" t="s">
        <v>13</v>
      </c>
      <c r="G166">
        <v>20</v>
      </c>
      <c r="H166">
        <v>1.99</v>
      </c>
      <c r="I166">
        <v>45.438400000000001</v>
      </c>
      <c r="J166">
        <v>10.9916</v>
      </c>
      <c r="K166">
        <v>45.156399999999998</v>
      </c>
      <c r="L166">
        <v>10.791399999999999</v>
      </c>
      <c r="M166" s="7">
        <f t="shared" si="2"/>
        <v>35.049482425494702</v>
      </c>
      <c r="N166" s="7">
        <f>TBL_VIAGGI[[#This Row],[Km percosi-Linea d''aria]]*1.25</f>
        <v>43.811853031868381</v>
      </c>
      <c r="O166"/>
      <c r="P166"/>
      <c r="R166"/>
    </row>
    <row r="167" spans="1:18" x14ac:dyDescent="0.3">
      <c r="A167" s="1">
        <v>45642</v>
      </c>
      <c r="B167" s="7" t="s">
        <v>14</v>
      </c>
      <c r="C167" s="7" t="s">
        <v>31</v>
      </c>
      <c r="D167" s="7" t="s">
        <v>11</v>
      </c>
      <c r="E167" s="7" t="s">
        <v>23</v>
      </c>
      <c r="F167" s="7" t="s">
        <v>21</v>
      </c>
      <c r="G167">
        <v>16</v>
      </c>
      <c r="H167">
        <v>1.83</v>
      </c>
      <c r="I167">
        <v>45.438400000000001</v>
      </c>
      <c r="J167">
        <v>10.9916</v>
      </c>
      <c r="K167">
        <v>46.074800000000003</v>
      </c>
      <c r="L167">
        <v>11.121700000000001</v>
      </c>
      <c r="M167" s="7">
        <f t="shared" si="2"/>
        <v>71.480621044461714</v>
      </c>
      <c r="N167" s="7">
        <f>TBL_VIAGGI[[#This Row],[Km percosi-Linea d''aria]]*1.25</f>
        <v>89.350776305577142</v>
      </c>
      <c r="O167"/>
      <c r="P167"/>
      <c r="R167"/>
    </row>
    <row r="168" spans="1:18" x14ac:dyDescent="0.3">
      <c r="A168" s="1">
        <v>45566</v>
      </c>
      <c r="B168" s="7" t="s">
        <v>28</v>
      </c>
      <c r="C168" s="7" t="s">
        <v>10</v>
      </c>
      <c r="D168" s="7" t="s">
        <v>11</v>
      </c>
      <c r="E168" s="7" t="s">
        <v>20</v>
      </c>
      <c r="F168" s="7" t="s">
        <v>21</v>
      </c>
      <c r="G168">
        <v>16</v>
      </c>
      <c r="H168">
        <v>2</v>
      </c>
      <c r="I168">
        <v>45.438400000000001</v>
      </c>
      <c r="J168">
        <v>10.9916</v>
      </c>
      <c r="K168">
        <v>45.156399999999998</v>
      </c>
      <c r="L168">
        <v>10.791399999999999</v>
      </c>
      <c r="M168" s="7">
        <f t="shared" si="2"/>
        <v>35.049482425494702</v>
      </c>
      <c r="N168" s="7">
        <f>TBL_VIAGGI[[#This Row],[Km percosi-Linea d''aria]]*1.25</f>
        <v>43.811853031868381</v>
      </c>
      <c r="O168"/>
      <c r="P168"/>
      <c r="R168"/>
    </row>
    <row r="169" spans="1:18" x14ac:dyDescent="0.3">
      <c r="A169" s="1">
        <v>45627</v>
      </c>
      <c r="B169" s="7" t="s">
        <v>14</v>
      </c>
      <c r="C169" s="7" t="s">
        <v>15</v>
      </c>
      <c r="D169" s="7" t="s">
        <v>11</v>
      </c>
      <c r="E169" s="7" t="s">
        <v>30</v>
      </c>
      <c r="F169" s="7" t="s">
        <v>13</v>
      </c>
      <c r="G169">
        <v>20</v>
      </c>
      <c r="H169">
        <v>1.79</v>
      </c>
      <c r="I169">
        <v>45.438400000000001</v>
      </c>
      <c r="J169">
        <v>10.9916</v>
      </c>
      <c r="K169">
        <v>44.494900000000001</v>
      </c>
      <c r="L169">
        <v>11.342599999999999</v>
      </c>
      <c r="M169" s="7">
        <f t="shared" si="2"/>
        <v>108.4853856935753</v>
      </c>
      <c r="N169" s="7">
        <f>TBL_VIAGGI[[#This Row],[Km percosi-Linea d''aria]]*1.25</f>
        <v>135.60673211696911</v>
      </c>
      <c r="O169"/>
      <c r="P169"/>
      <c r="R169"/>
    </row>
    <row r="170" spans="1:18" x14ac:dyDescent="0.3">
      <c r="A170" s="1">
        <v>45396</v>
      </c>
      <c r="B170" s="7" t="s">
        <v>28</v>
      </c>
      <c r="C170" s="7" t="s">
        <v>15</v>
      </c>
      <c r="D170" s="7" t="s">
        <v>11</v>
      </c>
      <c r="E170" s="7" t="s">
        <v>29</v>
      </c>
      <c r="F170" s="7" t="s">
        <v>25</v>
      </c>
      <c r="G170">
        <v>18</v>
      </c>
      <c r="H170">
        <v>1.98</v>
      </c>
      <c r="I170">
        <v>45.438400000000001</v>
      </c>
      <c r="J170">
        <v>10.9916</v>
      </c>
      <c r="K170">
        <v>45.464199999999998</v>
      </c>
      <c r="L170">
        <v>9.19</v>
      </c>
      <c r="M170" s="7">
        <f t="shared" si="2"/>
        <v>140.56002944653866</v>
      </c>
      <c r="N170" s="7">
        <f>TBL_VIAGGI[[#This Row],[Km percosi-Linea d''aria]]*1.25</f>
        <v>175.70003680817334</v>
      </c>
      <c r="O170"/>
      <c r="P170"/>
      <c r="R170"/>
    </row>
    <row r="171" spans="1:18" x14ac:dyDescent="0.3">
      <c r="A171" s="1">
        <v>45536</v>
      </c>
      <c r="B171" s="7" t="s">
        <v>9</v>
      </c>
      <c r="C171" s="7" t="s">
        <v>10</v>
      </c>
      <c r="D171" s="7" t="s">
        <v>11</v>
      </c>
      <c r="E171" s="7" t="s">
        <v>12</v>
      </c>
      <c r="F171" s="7" t="s">
        <v>25</v>
      </c>
      <c r="G171">
        <v>18</v>
      </c>
      <c r="H171">
        <v>1.89</v>
      </c>
      <c r="I171">
        <v>45.438400000000001</v>
      </c>
      <c r="J171">
        <v>10.9916</v>
      </c>
      <c r="K171">
        <v>45.406399999999998</v>
      </c>
      <c r="L171">
        <v>11.876799999999999</v>
      </c>
      <c r="M171" s="7">
        <f t="shared" si="2"/>
        <v>69.17656464510614</v>
      </c>
      <c r="N171" s="7">
        <f>TBL_VIAGGI[[#This Row],[Km percosi-Linea d''aria]]*1.25</f>
        <v>86.470705806382682</v>
      </c>
      <c r="O171"/>
      <c r="P171"/>
      <c r="R171"/>
    </row>
    <row r="172" spans="1:18" x14ac:dyDescent="0.3">
      <c r="A172" s="1">
        <v>45313</v>
      </c>
      <c r="B172" s="7" t="s">
        <v>14</v>
      </c>
      <c r="C172" s="7" t="s">
        <v>10</v>
      </c>
      <c r="D172" s="7" t="s">
        <v>11</v>
      </c>
      <c r="E172" s="7" t="s">
        <v>23</v>
      </c>
      <c r="F172" s="7" t="s">
        <v>13</v>
      </c>
      <c r="G172">
        <v>20</v>
      </c>
      <c r="H172">
        <v>1.83</v>
      </c>
      <c r="I172">
        <v>45.438400000000001</v>
      </c>
      <c r="J172">
        <v>10.9916</v>
      </c>
      <c r="K172">
        <v>46.074800000000003</v>
      </c>
      <c r="L172">
        <v>11.121700000000001</v>
      </c>
      <c r="M172" s="7">
        <f t="shared" si="2"/>
        <v>71.480621044461714</v>
      </c>
      <c r="N172" s="7">
        <f>TBL_VIAGGI[[#This Row],[Km percosi-Linea d''aria]]*1.25</f>
        <v>89.350776305577142</v>
      </c>
      <c r="O172"/>
      <c r="P172"/>
      <c r="R172"/>
    </row>
    <row r="173" spans="1:18" x14ac:dyDescent="0.3">
      <c r="A173" s="1">
        <v>45604</v>
      </c>
      <c r="B173" s="7" t="s">
        <v>14</v>
      </c>
      <c r="C173" s="7" t="s">
        <v>24</v>
      </c>
      <c r="D173" s="7" t="s">
        <v>11</v>
      </c>
      <c r="E173" s="7" t="s">
        <v>12</v>
      </c>
      <c r="F173" s="7" t="s">
        <v>25</v>
      </c>
      <c r="G173">
        <v>18</v>
      </c>
      <c r="H173">
        <v>1.97</v>
      </c>
      <c r="I173">
        <v>45.438400000000001</v>
      </c>
      <c r="J173">
        <v>10.9916</v>
      </c>
      <c r="K173">
        <v>45.406399999999998</v>
      </c>
      <c r="L173">
        <v>11.876799999999999</v>
      </c>
      <c r="M173" s="7">
        <f t="shared" si="2"/>
        <v>69.17656464510614</v>
      </c>
      <c r="N173" s="7">
        <f>TBL_VIAGGI[[#This Row],[Km percosi-Linea d''aria]]*1.25</f>
        <v>86.470705806382682</v>
      </c>
      <c r="O173"/>
      <c r="P173"/>
      <c r="R173"/>
    </row>
    <row r="174" spans="1:18" x14ac:dyDescent="0.3">
      <c r="A174" s="1">
        <v>45331</v>
      </c>
      <c r="B174" s="7" t="s">
        <v>28</v>
      </c>
      <c r="C174" s="7" t="s">
        <v>31</v>
      </c>
      <c r="D174" s="7" t="s">
        <v>11</v>
      </c>
      <c r="E174" s="7" t="s">
        <v>18</v>
      </c>
      <c r="F174" s="7" t="s">
        <v>21</v>
      </c>
      <c r="G174">
        <v>16</v>
      </c>
      <c r="H174">
        <v>2.08</v>
      </c>
      <c r="I174">
        <v>45.438400000000001</v>
      </c>
      <c r="J174">
        <v>10.9916</v>
      </c>
      <c r="K174">
        <v>45.541600000000003</v>
      </c>
      <c r="L174">
        <v>10.2118</v>
      </c>
      <c r="M174" s="7">
        <f t="shared" si="2"/>
        <v>61.859907199936103</v>
      </c>
      <c r="N174" s="7">
        <f>TBL_VIAGGI[[#This Row],[Km percosi-Linea d''aria]]*1.25</f>
        <v>77.324883999920132</v>
      </c>
      <c r="O174"/>
      <c r="P174"/>
      <c r="R174"/>
    </row>
    <row r="175" spans="1:18" x14ac:dyDescent="0.3">
      <c r="A175" s="1">
        <v>45489</v>
      </c>
      <c r="B175" s="7" t="s">
        <v>28</v>
      </c>
      <c r="C175" s="7" t="s">
        <v>15</v>
      </c>
      <c r="D175" s="7" t="s">
        <v>11</v>
      </c>
      <c r="E175" s="7" t="s">
        <v>18</v>
      </c>
      <c r="F175" s="7" t="s">
        <v>25</v>
      </c>
      <c r="G175">
        <v>18</v>
      </c>
      <c r="H175">
        <v>1.8</v>
      </c>
      <c r="I175">
        <v>45.438400000000001</v>
      </c>
      <c r="J175">
        <v>10.9916</v>
      </c>
      <c r="K175">
        <v>45.541600000000003</v>
      </c>
      <c r="L175">
        <v>10.2118</v>
      </c>
      <c r="M175" s="7">
        <f t="shared" si="2"/>
        <v>61.859907199936103</v>
      </c>
      <c r="N175" s="7">
        <f>TBL_VIAGGI[[#This Row],[Km percosi-Linea d''aria]]*1.25</f>
        <v>77.324883999920132</v>
      </c>
      <c r="O175"/>
      <c r="P175"/>
      <c r="R175"/>
    </row>
    <row r="176" spans="1:18" x14ac:dyDescent="0.3">
      <c r="A176" s="1">
        <v>45552</v>
      </c>
      <c r="B176" s="7" t="s">
        <v>27</v>
      </c>
      <c r="C176" s="7" t="s">
        <v>10</v>
      </c>
      <c r="D176" s="7" t="s">
        <v>11</v>
      </c>
      <c r="E176" s="7" t="s">
        <v>23</v>
      </c>
      <c r="F176" s="7" t="s">
        <v>25</v>
      </c>
      <c r="G176">
        <v>18</v>
      </c>
      <c r="H176">
        <v>2.08</v>
      </c>
      <c r="I176">
        <v>45.438400000000001</v>
      </c>
      <c r="J176">
        <v>10.9916</v>
      </c>
      <c r="K176">
        <v>46.074800000000003</v>
      </c>
      <c r="L176">
        <v>11.121700000000001</v>
      </c>
      <c r="M176" s="7">
        <f t="shared" si="2"/>
        <v>71.480621044461714</v>
      </c>
      <c r="N176" s="7">
        <f>TBL_VIAGGI[[#This Row],[Km percosi-Linea d''aria]]*1.25</f>
        <v>89.350776305577142</v>
      </c>
      <c r="O176"/>
      <c r="P176"/>
      <c r="R176"/>
    </row>
    <row r="177" spans="1:18" x14ac:dyDescent="0.3">
      <c r="A177" s="1">
        <v>45571</v>
      </c>
      <c r="B177" s="7" t="s">
        <v>14</v>
      </c>
      <c r="C177" s="7" t="s">
        <v>15</v>
      </c>
      <c r="D177" s="7" t="s">
        <v>11</v>
      </c>
      <c r="E177" s="7" t="s">
        <v>12</v>
      </c>
      <c r="F177" s="7" t="s">
        <v>21</v>
      </c>
      <c r="G177">
        <v>16</v>
      </c>
      <c r="H177">
        <v>1.75</v>
      </c>
      <c r="I177">
        <v>45.438400000000001</v>
      </c>
      <c r="J177">
        <v>10.9916</v>
      </c>
      <c r="K177">
        <v>45.406399999999998</v>
      </c>
      <c r="L177">
        <v>11.876799999999999</v>
      </c>
      <c r="M177" s="7">
        <f t="shared" si="2"/>
        <v>69.17656464510614</v>
      </c>
      <c r="N177" s="7">
        <f>TBL_VIAGGI[[#This Row],[Km percosi-Linea d''aria]]*1.25</f>
        <v>86.470705806382682</v>
      </c>
      <c r="O177"/>
      <c r="P177"/>
      <c r="R177"/>
    </row>
    <row r="178" spans="1:18" x14ac:dyDescent="0.3">
      <c r="A178" s="1">
        <v>45439</v>
      </c>
      <c r="B178" s="7" t="s">
        <v>27</v>
      </c>
      <c r="C178" s="7" t="s">
        <v>10</v>
      </c>
      <c r="D178" s="7" t="s">
        <v>11</v>
      </c>
      <c r="E178" s="7" t="s">
        <v>23</v>
      </c>
      <c r="F178" s="7" t="s">
        <v>25</v>
      </c>
      <c r="G178">
        <v>18</v>
      </c>
      <c r="H178">
        <v>1.83</v>
      </c>
      <c r="I178">
        <v>45.438400000000001</v>
      </c>
      <c r="J178">
        <v>10.9916</v>
      </c>
      <c r="K178">
        <v>46.074800000000003</v>
      </c>
      <c r="L178">
        <v>11.121700000000001</v>
      </c>
      <c r="M178" s="7">
        <f t="shared" si="2"/>
        <v>71.480621044461714</v>
      </c>
      <c r="N178" s="7">
        <f>TBL_VIAGGI[[#This Row],[Km percosi-Linea d''aria]]*1.25</f>
        <v>89.350776305577142</v>
      </c>
      <c r="O178"/>
      <c r="P178"/>
      <c r="R178"/>
    </row>
    <row r="179" spans="1:18" x14ac:dyDescent="0.3">
      <c r="A179" s="1">
        <v>45644</v>
      </c>
      <c r="B179" s="7" t="s">
        <v>9</v>
      </c>
      <c r="C179" s="7" t="s">
        <v>10</v>
      </c>
      <c r="D179" s="7" t="s">
        <v>11</v>
      </c>
      <c r="E179" s="7" t="s">
        <v>30</v>
      </c>
      <c r="F179" s="7" t="s">
        <v>13</v>
      </c>
      <c r="G179">
        <v>20</v>
      </c>
      <c r="H179">
        <v>2.04</v>
      </c>
      <c r="I179">
        <v>45.438400000000001</v>
      </c>
      <c r="J179">
        <v>10.9916</v>
      </c>
      <c r="K179">
        <v>44.494900000000001</v>
      </c>
      <c r="L179">
        <v>11.342599999999999</v>
      </c>
      <c r="M179" s="7">
        <f t="shared" si="2"/>
        <v>108.4853856935753</v>
      </c>
      <c r="N179" s="7">
        <f>TBL_VIAGGI[[#This Row],[Km percosi-Linea d''aria]]*1.25</f>
        <v>135.60673211696911</v>
      </c>
      <c r="O179"/>
      <c r="P179"/>
      <c r="R179"/>
    </row>
    <row r="180" spans="1:18" x14ac:dyDescent="0.3">
      <c r="A180" s="1">
        <v>45520</v>
      </c>
      <c r="B180" s="7" t="s">
        <v>27</v>
      </c>
      <c r="C180" s="7" t="s">
        <v>31</v>
      </c>
      <c r="D180" s="7" t="s">
        <v>11</v>
      </c>
      <c r="E180" s="7" t="s">
        <v>29</v>
      </c>
      <c r="F180" s="7" t="s">
        <v>19</v>
      </c>
      <c r="G180">
        <v>14</v>
      </c>
      <c r="H180">
        <v>1.86</v>
      </c>
      <c r="I180">
        <v>45.438400000000001</v>
      </c>
      <c r="J180">
        <v>10.9916</v>
      </c>
      <c r="K180">
        <v>45.464199999999998</v>
      </c>
      <c r="L180">
        <v>9.19</v>
      </c>
      <c r="M180" s="7">
        <f t="shared" si="2"/>
        <v>140.56002944653866</v>
      </c>
      <c r="N180" s="7">
        <f>TBL_VIAGGI[[#This Row],[Km percosi-Linea d''aria]]*1.25</f>
        <v>175.70003680817334</v>
      </c>
      <c r="O180"/>
      <c r="P180"/>
      <c r="R180"/>
    </row>
    <row r="181" spans="1:18" x14ac:dyDescent="0.3">
      <c r="A181" s="1">
        <v>45545</v>
      </c>
      <c r="B181" s="7" t="s">
        <v>28</v>
      </c>
      <c r="C181" s="7" t="s">
        <v>24</v>
      </c>
      <c r="D181" s="7" t="s">
        <v>11</v>
      </c>
      <c r="E181" s="7" t="s">
        <v>12</v>
      </c>
      <c r="F181" s="7" t="s">
        <v>19</v>
      </c>
      <c r="G181">
        <v>14</v>
      </c>
      <c r="H181">
        <v>1.8</v>
      </c>
      <c r="I181">
        <v>45.438400000000001</v>
      </c>
      <c r="J181">
        <v>10.9916</v>
      </c>
      <c r="K181">
        <v>45.406399999999998</v>
      </c>
      <c r="L181">
        <v>11.876799999999999</v>
      </c>
      <c r="M181" s="7">
        <f t="shared" si="2"/>
        <v>69.17656464510614</v>
      </c>
      <c r="N181" s="7">
        <f>TBL_VIAGGI[[#This Row],[Km percosi-Linea d''aria]]*1.25</f>
        <v>86.470705806382682</v>
      </c>
      <c r="O181"/>
      <c r="P181"/>
      <c r="R181"/>
    </row>
    <row r="182" spans="1:18" x14ac:dyDescent="0.3">
      <c r="A182" s="1">
        <v>45486</v>
      </c>
      <c r="B182" s="7" t="s">
        <v>28</v>
      </c>
      <c r="C182" s="7" t="s">
        <v>24</v>
      </c>
      <c r="D182" s="7" t="s">
        <v>11</v>
      </c>
      <c r="E182" s="7" t="s">
        <v>30</v>
      </c>
      <c r="F182" s="7" t="s">
        <v>19</v>
      </c>
      <c r="G182">
        <v>14</v>
      </c>
      <c r="H182">
        <v>1.99</v>
      </c>
      <c r="I182">
        <v>45.438400000000001</v>
      </c>
      <c r="J182">
        <v>10.9916</v>
      </c>
      <c r="K182">
        <v>44.494900000000001</v>
      </c>
      <c r="L182">
        <v>11.342599999999999</v>
      </c>
      <c r="M182" s="7">
        <f t="shared" si="2"/>
        <v>108.4853856935753</v>
      </c>
      <c r="N182" s="7">
        <f>TBL_VIAGGI[[#This Row],[Km percosi-Linea d''aria]]*1.25</f>
        <v>135.60673211696911</v>
      </c>
      <c r="O182"/>
      <c r="P182"/>
      <c r="R182"/>
    </row>
    <row r="183" spans="1:18" x14ac:dyDescent="0.3">
      <c r="A183" s="1">
        <v>45444</v>
      </c>
      <c r="B183" s="7" t="s">
        <v>14</v>
      </c>
      <c r="C183" s="7" t="s">
        <v>15</v>
      </c>
      <c r="D183" s="7" t="s">
        <v>11</v>
      </c>
      <c r="E183" s="7" t="s">
        <v>18</v>
      </c>
      <c r="F183" s="7" t="s">
        <v>19</v>
      </c>
      <c r="G183">
        <v>14</v>
      </c>
      <c r="H183">
        <v>2</v>
      </c>
      <c r="I183">
        <v>45.438400000000001</v>
      </c>
      <c r="J183">
        <v>10.9916</v>
      </c>
      <c r="K183">
        <v>45.541600000000003</v>
      </c>
      <c r="L183">
        <v>10.2118</v>
      </c>
      <c r="M183" s="7">
        <f t="shared" si="2"/>
        <v>61.859907199936103</v>
      </c>
      <c r="N183" s="7">
        <f>TBL_VIAGGI[[#This Row],[Km percosi-Linea d''aria]]*1.25</f>
        <v>77.324883999920132</v>
      </c>
      <c r="O183"/>
      <c r="P183"/>
      <c r="R183"/>
    </row>
    <row r="184" spans="1:18" x14ac:dyDescent="0.3">
      <c r="A184" s="1">
        <v>45540</v>
      </c>
      <c r="B184" s="7" t="s">
        <v>27</v>
      </c>
      <c r="C184" s="7" t="s">
        <v>17</v>
      </c>
      <c r="D184" s="7" t="s">
        <v>11</v>
      </c>
      <c r="E184" s="7" t="s">
        <v>23</v>
      </c>
      <c r="F184" s="7" t="s">
        <v>13</v>
      </c>
      <c r="G184">
        <v>20</v>
      </c>
      <c r="H184">
        <v>1.9</v>
      </c>
      <c r="I184">
        <v>45.438400000000001</v>
      </c>
      <c r="J184">
        <v>10.9916</v>
      </c>
      <c r="K184">
        <v>46.074800000000003</v>
      </c>
      <c r="L184">
        <v>11.121700000000001</v>
      </c>
      <c r="M184" s="7">
        <f t="shared" si="2"/>
        <v>71.480621044461714</v>
      </c>
      <c r="N184" s="7">
        <f>TBL_VIAGGI[[#This Row],[Km percosi-Linea d''aria]]*1.25</f>
        <v>89.350776305577142</v>
      </c>
      <c r="O184"/>
      <c r="P184"/>
      <c r="R184"/>
    </row>
    <row r="185" spans="1:18" x14ac:dyDescent="0.3">
      <c r="A185" s="1">
        <v>45393</v>
      </c>
      <c r="B185" s="7" t="s">
        <v>22</v>
      </c>
      <c r="C185" s="7" t="s">
        <v>26</v>
      </c>
      <c r="D185" s="7" t="s">
        <v>11</v>
      </c>
      <c r="E185" s="7" t="s">
        <v>30</v>
      </c>
      <c r="F185" s="7" t="s">
        <v>13</v>
      </c>
      <c r="G185">
        <v>20</v>
      </c>
      <c r="H185">
        <v>2.02</v>
      </c>
      <c r="I185">
        <v>45.438400000000001</v>
      </c>
      <c r="J185">
        <v>10.9916</v>
      </c>
      <c r="K185">
        <v>44.494900000000001</v>
      </c>
      <c r="L185">
        <v>11.342599999999999</v>
      </c>
      <c r="M185" s="7">
        <f t="shared" si="2"/>
        <v>108.4853856935753</v>
      </c>
      <c r="N185" s="7">
        <f>TBL_VIAGGI[[#This Row],[Km percosi-Linea d''aria]]*1.25</f>
        <v>135.60673211696911</v>
      </c>
      <c r="O185"/>
      <c r="P185"/>
      <c r="R185"/>
    </row>
    <row r="186" spans="1:18" x14ac:dyDescent="0.3">
      <c r="A186" s="1">
        <v>45502</v>
      </c>
      <c r="B186" s="7" t="s">
        <v>27</v>
      </c>
      <c r="C186" s="7" t="s">
        <v>24</v>
      </c>
      <c r="D186" s="7" t="s">
        <v>11</v>
      </c>
      <c r="E186" s="7" t="s">
        <v>18</v>
      </c>
      <c r="F186" s="7" t="s">
        <v>13</v>
      </c>
      <c r="G186">
        <v>20</v>
      </c>
      <c r="H186">
        <v>1.84</v>
      </c>
      <c r="I186">
        <v>45.438400000000001</v>
      </c>
      <c r="J186">
        <v>10.9916</v>
      </c>
      <c r="K186">
        <v>45.541600000000003</v>
      </c>
      <c r="L186">
        <v>10.2118</v>
      </c>
      <c r="M186" s="7">
        <f t="shared" si="2"/>
        <v>61.859907199936103</v>
      </c>
      <c r="N186" s="7">
        <f>TBL_VIAGGI[[#This Row],[Km percosi-Linea d''aria]]*1.25</f>
        <v>77.324883999920132</v>
      </c>
      <c r="O186"/>
      <c r="P186"/>
      <c r="R186"/>
    </row>
    <row r="187" spans="1:18" x14ac:dyDescent="0.3">
      <c r="A187" s="1">
        <v>45493</v>
      </c>
      <c r="B187" s="7" t="s">
        <v>22</v>
      </c>
      <c r="C187" s="7" t="s">
        <v>24</v>
      </c>
      <c r="D187" s="7" t="s">
        <v>11</v>
      </c>
      <c r="E187" s="7" t="s">
        <v>20</v>
      </c>
      <c r="F187" s="7" t="s">
        <v>21</v>
      </c>
      <c r="G187">
        <v>16</v>
      </c>
      <c r="H187">
        <v>2</v>
      </c>
      <c r="I187">
        <v>45.438400000000001</v>
      </c>
      <c r="J187">
        <v>10.9916</v>
      </c>
      <c r="K187">
        <v>45.156399999999998</v>
      </c>
      <c r="L187">
        <v>10.791399999999999</v>
      </c>
      <c r="M187" s="7">
        <f t="shared" si="2"/>
        <v>35.049482425494702</v>
      </c>
      <c r="N187" s="7">
        <f>TBL_VIAGGI[[#This Row],[Km percosi-Linea d''aria]]*1.25</f>
        <v>43.811853031868381</v>
      </c>
      <c r="O187"/>
      <c r="P187"/>
      <c r="R187"/>
    </row>
    <row r="188" spans="1:18" x14ac:dyDescent="0.3">
      <c r="A188" s="1">
        <v>45375</v>
      </c>
      <c r="B188" s="7" t="s">
        <v>14</v>
      </c>
      <c r="C188" s="7" t="s">
        <v>31</v>
      </c>
      <c r="D188" s="7" t="s">
        <v>11</v>
      </c>
      <c r="E188" s="7" t="s">
        <v>18</v>
      </c>
      <c r="F188" s="7" t="s">
        <v>21</v>
      </c>
      <c r="G188">
        <v>16</v>
      </c>
      <c r="H188">
        <v>1.99</v>
      </c>
      <c r="I188">
        <v>45.438400000000001</v>
      </c>
      <c r="J188">
        <v>10.9916</v>
      </c>
      <c r="K188">
        <v>45.541600000000003</v>
      </c>
      <c r="L188">
        <v>10.2118</v>
      </c>
      <c r="M188" s="7">
        <f t="shared" si="2"/>
        <v>61.859907199936103</v>
      </c>
      <c r="N188" s="7">
        <f>TBL_VIAGGI[[#This Row],[Km percosi-Linea d''aria]]*1.25</f>
        <v>77.324883999920132</v>
      </c>
      <c r="O188"/>
      <c r="P188"/>
      <c r="R188"/>
    </row>
    <row r="189" spans="1:18" x14ac:dyDescent="0.3">
      <c r="A189" s="1">
        <v>45314</v>
      </c>
      <c r="B189" s="7" t="s">
        <v>22</v>
      </c>
      <c r="C189" s="7" t="s">
        <v>24</v>
      </c>
      <c r="D189" s="7" t="s">
        <v>11</v>
      </c>
      <c r="E189" s="7" t="s">
        <v>30</v>
      </c>
      <c r="F189" s="7" t="s">
        <v>25</v>
      </c>
      <c r="G189">
        <v>18</v>
      </c>
      <c r="H189">
        <v>2.0699999999999998</v>
      </c>
      <c r="I189">
        <v>45.438400000000001</v>
      </c>
      <c r="J189">
        <v>10.9916</v>
      </c>
      <c r="K189">
        <v>44.494900000000001</v>
      </c>
      <c r="L189">
        <v>11.342599999999999</v>
      </c>
      <c r="M189" s="7">
        <f t="shared" si="2"/>
        <v>108.4853856935753</v>
      </c>
      <c r="N189" s="7">
        <f>TBL_VIAGGI[[#This Row],[Km percosi-Linea d''aria]]*1.25</f>
        <v>135.60673211696911</v>
      </c>
      <c r="O189"/>
      <c r="P189"/>
      <c r="R189"/>
    </row>
    <row r="190" spans="1:18" x14ac:dyDescent="0.3">
      <c r="A190" s="1">
        <v>45330</v>
      </c>
      <c r="B190" s="7" t="s">
        <v>9</v>
      </c>
      <c r="C190" s="7" t="s">
        <v>26</v>
      </c>
      <c r="D190" s="7" t="s">
        <v>11</v>
      </c>
      <c r="E190" s="7" t="s">
        <v>23</v>
      </c>
      <c r="F190" s="7" t="s">
        <v>13</v>
      </c>
      <c r="G190">
        <v>20</v>
      </c>
      <c r="H190">
        <v>1.82</v>
      </c>
      <c r="I190">
        <v>45.438400000000001</v>
      </c>
      <c r="J190">
        <v>10.9916</v>
      </c>
      <c r="K190">
        <v>46.074800000000003</v>
      </c>
      <c r="L190">
        <v>11.121700000000001</v>
      </c>
      <c r="M190" s="7">
        <f t="shared" si="2"/>
        <v>71.480621044461714</v>
      </c>
      <c r="N190" s="7">
        <f>TBL_VIAGGI[[#This Row],[Km percosi-Linea d''aria]]*1.25</f>
        <v>89.350776305577142</v>
      </c>
      <c r="O190"/>
      <c r="P190"/>
      <c r="R190"/>
    </row>
    <row r="191" spans="1:18" x14ac:dyDescent="0.3">
      <c r="A191" s="1">
        <v>45462</v>
      </c>
      <c r="B191" s="7" t="s">
        <v>22</v>
      </c>
      <c r="C191" s="7" t="s">
        <v>24</v>
      </c>
      <c r="D191" s="7" t="s">
        <v>11</v>
      </c>
      <c r="E191" s="7" t="s">
        <v>16</v>
      </c>
      <c r="F191" s="7" t="s">
        <v>13</v>
      </c>
      <c r="G191">
        <v>20</v>
      </c>
      <c r="H191">
        <v>1.84</v>
      </c>
      <c r="I191">
        <v>45.438400000000001</v>
      </c>
      <c r="J191">
        <v>10.9916</v>
      </c>
      <c r="K191">
        <v>45.545499999999997</v>
      </c>
      <c r="L191">
        <v>11.535399999999999</v>
      </c>
      <c r="M191" s="7">
        <f t="shared" si="2"/>
        <v>44.029532629220121</v>
      </c>
      <c r="N191" s="7">
        <f>TBL_VIAGGI[[#This Row],[Km percosi-Linea d''aria]]*1.25</f>
        <v>55.036915786525149</v>
      </c>
      <c r="O191"/>
      <c r="P191"/>
      <c r="R191"/>
    </row>
    <row r="192" spans="1:18" x14ac:dyDescent="0.3">
      <c r="A192" s="1">
        <v>45624</v>
      </c>
      <c r="B192" s="7" t="s">
        <v>14</v>
      </c>
      <c r="C192" s="7" t="s">
        <v>15</v>
      </c>
      <c r="D192" s="7" t="s">
        <v>11</v>
      </c>
      <c r="E192" s="7" t="s">
        <v>23</v>
      </c>
      <c r="F192" s="7" t="s">
        <v>19</v>
      </c>
      <c r="G192">
        <v>14</v>
      </c>
      <c r="H192">
        <v>1.83</v>
      </c>
      <c r="I192">
        <v>45.438400000000001</v>
      </c>
      <c r="J192">
        <v>10.9916</v>
      </c>
      <c r="K192">
        <v>46.074800000000003</v>
      </c>
      <c r="L192">
        <v>11.121700000000001</v>
      </c>
      <c r="M192" s="7">
        <f t="shared" si="2"/>
        <v>71.480621044461714</v>
      </c>
      <c r="N192" s="7">
        <f>TBL_VIAGGI[[#This Row],[Km percosi-Linea d''aria]]*1.25</f>
        <v>89.350776305577142</v>
      </c>
      <c r="O192"/>
      <c r="P192"/>
      <c r="R192"/>
    </row>
    <row r="193" spans="1:18" x14ac:dyDescent="0.3">
      <c r="A193" s="1">
        <v>45302</v>
      </c>
      <c r="B193" s="7" t="s">
        <v>9</v>
      </c>
      <c r="C193" s="7" t="s">
        <v>24</v>
      </c>
      <c r="D193" s="7" t="s">
        <v>11</v>
      </c>
      <c r="E193" s="7" t="s">
        <v>12</v>
      </c>
      <c r="F193" s="7" t="s">
        <v>19</v>
      </c>
      <c r="G193">
        <v>14</v>
      </c>
      <c r="H193">
        <v>1.79</v>
      </c>
      <c r="I193">
        <v>45.438400000000001</v>
      </c>
      <c r="J193">
        <v>10.9916</v>
      </c>
      <c r="K193">
        <v>45.406399999999998</v>
      </c>
      <c r="L193">
        <v>11.876799999999999</v>
      </c>
      <c r="M193" s="7">
        <f t="shared" si="2"/>
        <v>69.17656464510614</v>
      </c>
      <c r="N193" s="7">
        <f>TBL_VIAGGI[[#This Row],[Km percosi-Linea d''aria]]*1.25</f>
        <v>86.470705806382682</v>
      </c>
      <c r="O193"/>
      <c r="P193"/>
      <c r="R193"/>
    </row>
    <row r="194" spans="1:18" x14ac:dyDescent="0.3">
      <c r="A194" s="1">
        <v>45380</v>
      </c>
      <c r="B194" s="7" t="s">
        <v>14</v>
      </c>
      <c r="C194" s="7" t="s">
        <v>15</v>
      </c>
      <c r="D194" s="7" t="s">
        <v>11</v>
      </c>
      <c r="E194" s="7" t="s">
        <v>16</v>
      </c>
      <c r="F194" s="7" t="s">
        <v>19</v>
      </c>
      <c r="G194">
        <v>14</v>
      </c>
      <c r="H194">
        <v>1.97</v>
      </c>
      <c r="I194">
        <v>45.438400000000001</v>
      </c>
      <c r="J194">
        <v>10.9916</v>
      </c>
      <c r="K194">
        <v>45.545499999999997</v>
      </c>
      <c r="L194">
        <v>11.535399999999999</v>
      </c>
      <c r="M194" s="7">
        <f t="shared" ref="M194:M257" si="3">6371*ACOS(
COS(RADIANS(90-I194))*
COS(RADIANS(90-K194))+
SIN(RADIANS(90-I194))*
SIN(RADIANS(90-K194))*
COS(RADIANS(J194-L194))
)</f>
        <v>44.029532629220121</v>
      </c>
      <c r="N194" s="7">
        <f>TBL_VIAGGI[[#This Row],[Km percosi-Linea d''aria]]*1.25</f>
        <v>55.036915786525149</v>
      </c>
      <c r="O194"/>
      <c r="P194"/>
      <c r="R194"/>
    </row>
    <row r="195" spans="1:18" x14ac:dyDescent="0.3">
      <c r="A195" s="1">
        <v>45507</v>
      </c>
      <c r="B195" s="7" t="s">
        <v>9</v>
      </c>
      <c r="C195" s="7" t="s">
        <v>31</v>
      </c>
      <c r="D195" s="7" t="s">
        <v>11</v>
      </c>
      <c r="E195" s="7" t="s">
        <v>16</v>
      </c>
      <c r="F195" s="7" t="s">
        <v>19</v>
      </c>
      <c r="G195">
        <v>14</v>
      </c>
      <c r="H195">
        <v>1.87</v>
      </c>
      <c r="I195">
        <v>45.438400000000001</v>
      </c>
      <c r="J195">
        <v>10.9916</v>
      </c>
      <c r="K195">
        <v>45.545499999999997</v>
      </c>
      <c r="L195">
        <v>11.535399999999999</v>
      </c>
      <c r="M195" s="7">
        <f t="shared" si="3"/>
        <v>44.029532629220121</v>
      </c>
      <c r="N195" s="7">
        <f>TBL_VIAGGI[[#This Row],[Km percosi-Linea d''aria]]*1.25</f>
        <v>55.036915786525149</v>
      </c>
      <c r="O195"/>
      <c r="P195"/>
      <c r="R195"/>
    </row>
    <row r="196" spans="1:18" x14ac:dyDescent="0.3">
      <c r="A196" s="1">
        <v>45583</v>
      </c>
      <c r="B196" s="7" t="s">
        <v>28</v>
      </c>
      <c r="C196" s="7" t="s">
        <v>15</v>
      </c>
      <c r="D196" s="7" t="s">
        <v>11</v>
      </c>
      <c r="E196" s="7" t="s">
        <v>18</v>
      </c>
      <c r="F196" s="7" t="s">
        <v>13</v>
      </c>
      <c r="G196">
        <v>20</v>
      </c>
      <c r="H196">
        <v>2.06</v>
      </c>
      <c r="I196">
        <v>45.438400000000001</v>
      </c>
      <c r="J196">
        <v>10.9916</v>
      </c>
      <c r="K196">
        <v>45.541600000000003</v>
      </c>
      <c r="L196">
        <v>10.2118</v>
      </c>
      <c r="M196" s="7">
        <f t="shared" si="3"/>
        <v>61.859907199936103</v>
      </c>
      <c r="N196" s="7">
        <f>TBL_VIAGGI[[#This Row],[Km percosi-Linea d''aria]]*1.25</f>
        <v>77.324883999920132</v>
      </c>
      <c r="O196"/>
      <c r="P196"/>
      <c r="R196"/>
    </row>
    <row r="197" spans="1:18" x14ac:dyDescent="0.3">
      <c r="A197" s="1">
        <v>45292</v>
      </c>
      <c r="B197" s="7" t="s">
        <v>28</v>
      </c>
      <c r="C197" s="7" t="s">
        <v>31</v>
      </c>
      <c r="D197" s="7" t="s">
        <v>11</v>
      </c>
      <c r="E197" s="7" t="s">
        <v>16</v>
      </c>
      <c r="F197" s="7" t="s">
        <v>19</v>
      </c>
      <c r="G197">
        <v>14</v>
      </c>
      <c r="H197">
        <v>1.88</v>
      </c>
      <c r="I197">
        <v>45.438400000000001</v>
      </c>
      <c r="J197">
        <v>10.9916</v>
      </c>
      <c r="K197">
        <v>45.545499999999997</v>
      </c>
      <c r="L197">
        <v>11.535399999999999</v>
      </c>
      <c r="M197" s="7">
        <f t="shared" si="3"/>
        <v>44.029532629220121</v>
      </c>
      <c r="N197" s="7">
        <f>TBL_VIAGGI[[#This Row],[Km percosi-Linea d''aria]]*1.25</f>
        <v>55.036915786525149</v>
      </c>
      <c r="O197"/>
      <c r="P197"/>
      <c r="R197"/>
    </row>
    <row r="198" spans="1:18" x14ac:dyDescent="0.3">
      <c r="A198" s="1">
        <v>45598</v>
      </c>
      <c r="B198" s="7" t="s">
        <v>9</v>
      </c>
      <c r="C198" s="7" t="s">
        <v>10</v>
      </c>
      <c r="D198" s="7" t="s">
        <v>11</v>
      </c>
      <c r="E198" s="7" t="s">
        <v>29</v>
      </c>
      <c r="F198" s="7" t="s">
        <v>19</v>
      </c>
      <c r="G198">
        <v>14</v>
      </c>
      <c r="H198">
        <v>1.76</v>
      </c>
      <c r="I198">
        <v>45.438400000000001</v>
      </c>
      <c r="J198">
        <v>10.9916</v>
      </c>
      <c r="K198">
        <v>45.464199999999998</v>
      </c>
      <c r="L198">
        <v>9.19</v>
      </c>
      <c r="M198" s="7">
        <f t="shared" si="3"/>
        <v>140.56002944653866</v>
      </c>
      <c r="N198" s="7">
        <f>TBL_VIAGGI[[#This Row],[Km percosi-Linea d''aria]]*1.25</f>
        <v>175.70003680817334</v>
      </c>
      <c r="O198"/>
      <c r="P198"/>
      <c r="R198"/>
    </row>
    <row r="199" spans="1:18" x14ac:dyDescent="0.3">
      <c r="A199" s="1">
        <v>45314</v>
      </c>
      <c r="B199" s="7" t="s">
        <v>27</v>
      </c>
      <c r="C199" s="7" t="s">
        <v>15</v>
      </c>
      <c r="D199" s="7" t="s">
        <v>11</v>
      </c>
      <c r="E199" s="7" t="s">
        <v>18</v>
      </c>
      <c r="F199" s="7" t="s">
        <v>19</v>
      </c>
      <c r="G199">
        <v>14</v>
      </c>
      <c r="H199">
        <v>1.98</v>
      </c>
      <c r="I199">
        <v>45.438400000000001</v>
      </c>
      <c r="J199">
        <v>10.9916</v>
      </c>
      <c r="K199">
        <v>45.541600000000003</v>
      </c>
      <c r="L199">
        <v>10.2118</v>
      </c>
      <c r="M199" s="7">
        <f t="shared" si="3"/>
        <v>61.859907199936103</v>
      </c>
      <c r="N199" s="7">
        <f>TBL_VIAGGI[[#This Row],[Km percosi-Linea d''aria]]*1.25</f>
        <v>77.324883999920132</v>
      </c>
      <c r="O199"/>
      <c r="P199"/>
      <c r="R199"/>
    </row>
    <row r="200" spans="1:18" x14ac:dyDescent="0.3">
      <c r="A200" s="1">
        <v>45552</v>
      </c>
      <c r="B200" s="7" t="s">
        <v>22</v>
      </c>
      <c r="C200" s="7" t="s">
        <v>26</v>
      </c>
      <c r="D200" s="7" t="s">
        <v>11</v>
      </c>
      <c r="E200" s="7" t="s">
        <v>23</v>
      </c>
      <c r="F200" s="7" t="s">
        <v>13</v>
      </c>
      <c r="G200">
        <v>20</v>
      </c>
      <c r="H200">
        <v>1.82</v>
      </c>
      <c r="I200">
        <v>45.438400000000001</v>
      </c>
      <c r="J200">
        <v>10.9916</v>
      </c>
      <c r="K200">
        <v>46.074800000000003</v>
      </c>
      <c r="L200">
        <v>11.121700000000001</v>
      </c>
      <c r="M200" s="7">
        <f t="shared" si="3"/>
        <v>71.480621044461714</v>
      </c>
      <c r="N200" s="7">
        <f>TBL_VIAGGI[[#This Row],[Km percosi-Linea d''aria]]*1.25</f>
        <v>89.350776305577142</v>
      </c>
      <c r="O200"/>
      <c r="P200"/>
      <c r="R200"/>
    </row>
    <row r="201" spans="1:18" x14ac:dyDescent="0.3">
      <c r="A201" s="1">
        <v>45531</v>
      </c>
      <c r="B201" s="7" t="s">
        <v>22</v>
      </c>
      <c r="C201" s="7" t="s">
        <v>26</v>
      </c>
      <c r="D201" s="7" t="s">
        <v>11</v>
      </c>
      <c r="E201" s="7" t="s">
        <v>12</v>
      </c>
      <c r="F201" s="7" t="s">
        <v>13</v>
      </c>
      <c r="G201">
        <v>20</v>
      </c>
      <c r="H201">
        <v>2.0499999999999998</v>
      </c>
      <c r="I201">
        <v>45.438400000000001</v>
      </c>
      <c r="J201">
        <v>10.9916</v>
      </c>
      <c r="K201">
        <v>45.406399999999998</v>
      </c>
      <c r="L201">
        <v>11.876799999999999</v>
      </c>
      <c r="M201" s="7">
        <f t="shared" si="3"/>
        <v>69.17656464510614</v>
      </c>
      <c r="N201" s="7">
        <f>TBL_VIAGGI[[#This Row],[Km percosi-Linea d''aria]]*1.25</f>
        <v>86.470705806382682</v>
      </c>
      <c r="O201"/>
      <c r="P201"/>
      <c r="R201"/>
    </row>
    <row r="202" spans="1:18" x14ac:dyDescent="0.3">
      <c r="A202" s="1">
        <v>45554</v>
      </c>
      <c r="B202" s="7" t="s">
        <v>9</v>
      </c>
      <c r="C202" s="7" t="s">
        <v>24</v>
      </c>
      <c r="D202" s="7" t="s">
        <v>11</v>
      </c>
      <c r="E202" s="7" t="s">
        <v>23</v>
      </c>
      <c r="F202" s="7" t="s">
        <v>19</v>
      </c>
      <c r="G202">
        <v>14</v>
      </c>
      <c r="H202">
        <v>1.81</v>
      </c>
      <c r="I202">
        <v>45.438400000000001</v>
      </c>
      <c r="J202">
        <v>10.9916</v>
      </c>
      <c r="K202">
        <v>46.074800000000003</v>
      </c>
      <c r="L202">
        <v>11.121700000000001</v>
      </c>
      <c r="M202" s="7">
        <f t="shared" si="3"/>
        <v>71.480621044461714</v>
      </c>
      <c r="N202" s="7">
        <f>TBL_VIAGGI[[#This Row],[Km percosi-Linea d''aria]]*1.25</f>
        <v>89.350776305577142</v>
      </c>
      <c r="O202"/>
      <c r="P202"/>
      <c r="R202"/>
    </row>
    <row r="203" spans="1:18" x14ac:dyDescent="0.3">
      <c r="A203" s="1">
        <v>45293</v>
      </c>
      <c r="B203" s="7" t="s">
        <v>27</v>
      </c>
      <c r="C203" s="7" t="s">
        <v>26</v>
      </c>
      <c r="D203" s="7" t="s">
        <v>11</v>
      </c>
      <c r="E203" s="7" t="s">
        <v>16</v>
      </c>
      <c r="F203" s="7" t="s">
        <v>25</v>
      </c>
      <c r="G203">
        <v>18</v>
      </c>
      <c r="H203">
        <v>1.96</v>
      </c>
      <c r="I203">
        <v>45.438400000000001</v>
      </c>
      <c r="J203">
        <v>10.9916</v>
      </c>
      <c r="K203">
        <v>45.545499999999997</v>
      </c>
      <c r="L203">
        <v>11.535399999999999</v>
      </c>
      <c r="M203" s="7">
        <f t="shared" si="3"/>
        <v>44.029532629220121</v>
      </c>
      <c r="N203" s="7">
        <f>TBL_VIAGGI[[#This Row],[Km percosi-Linea d''aria]]*1.25</f>
        <v>55.036915786525149</v>
      </c>
      <c r="O203"/>
      <c r="P203"/>
      <c r="R203"/>
    </row>
    <row r="204" spans="1:18" x14ac:dyDescent="0.3">
      <c r="A204" s="1">
        <v>45602</v>
      </c>
      <c r="B204" s="7" t="s">
        <v>9</v>
      </c>
      <c r="C204" s="7" t="s">
        <v>31</v>
      </c>
      <c r="D204" s="7" t="s">
        <v>11</v>
      </c>
      <c r="E204" s="7" t="s">
        <v>29</v>
      </c>
      <c r="F204" s="7" t="s">
        <v>25</v>
      </c>
      <c r="G204">
        <v>18</v>
      </c>
      <c r="H204">
        <v>2.09</v>
      </c>
      <c r="I204">
        <v>45.438400000000001</v>
      </c>
      <c r="J204">
        <v>10.9916</v>
      </c>
      <c r="K204">
        <v>45.464199999999998</v>
      </c>
      <c r="L204">
        <v>9.19</v>
      </c>
      <c r="M204" s="7">
        <f t="shared" si="3"/>
        <v>140.56002944653866</v>
      </c>
      <c r="N204" s="7">
        <f>TBL_VIAGGI[[#This Row],[Km percosi-Linea d''aria]]*1.25</f>
        <v>175.70003680817334</v>
      </c>
      <c r="O204"/>
      <c r="P204"/>
      <c r="R204"/>
    </row>
    <row r="205" spans="1:18" x14ac:dyDescent="0.3">
      <c r="A205" s="1">
        <v>45392</v>
      </c>
      <c r="B205" s="7" t="s">
        <v>27</v>
      </c>
      <c r="C205" s="7" t="s">
        <v>10</v>
      </c>
      <c r="D205" s="7" t="s">
        <v>11</v>
      </c>
      <c r="E205" s="7" t="s">
        <v>16</v>
      </c>
      <c r="F205" s="7" t="s">
        <v>13</v>
      </c>
      <c r="G205">
        <v>20</v>
      </c>
      <c r="H205">
        <v>2.02</v>
      </c>
      <c r="I205">
        <v>45.438400000000001</v>
      </c>
      <c r="J205">
        <v>10.9916</v>
      </c>
      <c r="K205">
        <v>45.545499999999997</v>
      </c>
      <c r="L205">
        <v>11.535399999999999</v>
      </c>
      <c r="M205" s="7">
        <f t="shared" si="3"/>
        <v>44.029532629220121</v>
      </c>
      <c r="N205" s="7">
        <f>TBL_VIAGGI[[#This Row],[Km percosi-Linea d''aria]]*1.25</f>
        <v>55.036915786525149</v>
      </c>
      <c r="O205"/>
      <c r="P205"/>
      <c r="R205"/>
    </row>
    <row r="206" spans="1:18" x14ac:dyDescent="0.3">
      <c r="A206" s="1">
        <v>45584</v>
      </c>
      <c r="B206" s="7" t="s">
        <v>22</v>
      </c>
      <c r="C206" s="7" t="s">
        <v>17</v>
      </c>
      <c r="D206" s="7" t="s">
        <v>11</v>
      </c>
      <c r="E206" s="7" t="s">
        <v>23</v>
      </c>
      <c r="F206" s="7" t="s">
        <v>13</v>
      </c>
      <c r="G206">
        <v>20</v>
      </c>
      <c r="H206">
        <v>2.0299999999999998</v>
      </c>
      <c r="I206">
        <v>45.438400000000001</v>
      </c>
      <c r="J206">
        <v>10.9916</v>
      </c>
      <c r="K206">
        <v>46.074800000000003</v>
      </c>
      <c r="L206">
        <v>11.121700000000001</v>
      </c>
      <c r="M206" s="7">
        <f t="shared" si="3"/>
        <v>71.480621044461714</v>
      </c>
      <c r="N206" s="7">
        <f>TBL_VIAGGI[[#This Row],[Km percosi-Linea d''aria]]*1.25</f>
        <v>89.350776305577142</v>
      </c>
      <c r="O206"/>
      <c r="P206"/>
      <c r="R206"/>
    </row>
    <row r="207" spans="1:18" x14ac:dyDescent="0.3">
      <c r="A207" s="1">
        <v>45430</v>
      </c>
      <c r="B207" s="7" t="s">
        <v>14</v>
      </c>
      <c r="C207" s="7" t="s">
        <v>17</v>
      </c>
      <c r="D207" s="7" t="s">
        <v>11</v>
      </c>
      <c r="E207" s="7" t="s">
        <v>18</v>
      </c>
      <c r="F207" s="7" t="s">
        <v>25</v>
      </c>
      <c r="G207">
        <v>18</v>
      </c>
      <c r="H207">
        <v>2.02</v>
      </c>
      <c r="I207">
        <v>45.438400000000001</v>
      </c>
      <c r="J207">
        <v>10.9916</v>
      </c>
      <c r="K207">
        <v>45.541600000000003</v>
      </c>
      <c r="L207">
        <v>10.2118</v>
      </c>
      <c r="M207" s="7">
        <f t="shared" si="3"/>
        <v>61.859907199936103</v>
      </c>
      <c r="N207" s="7">
        <f>TBL_VIAGGI[[#This Row],[Km percosi-Linea d''aria]]*1.25</f>
        <v>77.324883999920132</v>
      </c>
      <c r="O207"/>
      <c r="P207"/>
      <c r="R207"/>
    </row>
    <row r="208" spans="1:18" x14ac:dyDescent="0.3">
      <c r="A208" s="1">
        <v>45568</v>
      </c>
      <c r="B208" s="7" t="s">
        <v>9</v>
      </c>
      <c r="C208" s="7" t="s">
        <v>31</v>
      </c>
      <c r="D208" s="7" t="s">
        <v>11</v>
      </c>
      <c r="E208" s="7" t="s">
        <v>12</v>
      </c>
      <c r="F208" s="7" t="s">
        <v>25</v>
      </c>
      <c r="G208">
        <v>18</v>
      </c>
      <c r="H208">
        <v>2.0299999999999998</v>
      </c>
      <c r="I208">
        <v>45.438400000000001</v>
      </c>
      <c r="J208">
        <v>10.9916</v>
      </c>
      <c r="K208">
        <v>45.406399999999998</v>
      </c>
      <c r="L208">
        <v>11.876799999999999</v>
      </c>
      <c r="M208" s="7">
        <f t="shared" si="3"/>
        <v>69.17656464510614</v>
      </c>
      <c r="N208" s="7">
        <f>TBL_VIAGGI[[#This Row],[Km percosi-Linea d''aria]]*1.25</f>
        <v>86.470705806382682</v>
      </c>
      <c r="O208"/>
      <c r="P208"/>
      <c r="R208"/>
    </row>
    <row r="209" spans="1:18" x14ac:dyDescent="0.3">
      <c r="A209" s="1">
        <v>45591</v>
      </c>
      <c r="B209" s="7" t="s">
        <v>28</v>
      </c>
      <c r="C209" s="7" t="s">
        <v>26</v>
      </c>
      <c r="D209" s="7" t="s">
        <v>11</v>
      </c>
      <c r="E209" s="7" t="s">
        <v>30</v>
      </c>
      <c r="F209" s="7" t="s">
        <v>21</v>
      </c>
      <c r="G209">
        <v>16</v>
      </c>
      <c r="H209">
        <v>1.75</v>
      </c>
      <c r="I209">
        <v>45.438400000000001</v>
      </c>
      <c r="J209">
        <v>10.9916</v>
      </c>
      <c r="K209">
        <v>44.494900000000001</v>
      </c>
      <c r="L209">
        <v>11.342599999999999</v>
      </c>
      <c r="M209" s="7">
        <f t="shared" si="3"/>
        <v>108.4853856935753</v>
      </c>
      <c r="N209" s="7">
        <f>TBL_VIAGGI[[#This Row],[Km percosi-Linea d''aria]]*1.25</f>
        <v>135.60673211696911</v>
      </c>
      <c r="O209"/>
      <c r="P209"/>
      <c r="R209"/>
    </row>
    <row r="210" spans="1:18" x14ac:dyDescent="0.3">
      <c r="A210" s="1">
        <v>45559</v>
      </c>
      <c r="B210" s="7" t="s">
        <v>9</v>
      </c>
      <c r="C210" s="7" t="s">
        <v>17</v>
      </c>
      <c r="D210" s="7" t="s">
        <v>11</v>
      </c>
      <c r="E210" s="7" t="s">
        <v>23</v>
      </c>
      <c r="F210" s="7" t="s">
        <v>13</v>
      </c>
      <c r="G210">
        <v>20</v>
      </c>
      <c r="H210">
        <v>1.97</v>
      </c>
      <c r="I210">
        <v>45.438400000000001</v>
      </c>
      <c r="J210">
        <v>10.9916</v>
      </c>
      <c r="K210">
        <v>46.074800000000003</v>
      </c>
      <c r="L210">
        <v>11.121700000000001</v>
      </c>
      <c r="M210" s="7">
        <f t="shared" si="3"/>
        <v>71.480621044461714</v>
      </c>
      <c r="N210" s="7">
        <f>TBL_VIAGGI[[#This Row],[Km percosi-Linea d''aria]]*1.25</f>
        <v>89.350776305577142</v>
      </c>
      <c r="O210"/>
      <c r="P210"/>
      <c r="R210"/>
    </row>
    <row r="211" spans="1:18" x14ac:dyDescent="0.3">
      <c r="A211" s="1">
        <v>45400</v>
      </c>
      <c r="B211" s="7" t="s">
        <v>28</v>
      </c>
      <c r="C211" s="7" t="s">
        <v>31</v>
      </c>
      <c r="D211" s="7" t="s">
        <v>11</v>
      </c>
      <c r="E211" s="7" t="s">
        <v>29</v>
      </c>
      <c r="F211" s="7" t="s">
        <v>19</v>
      </c>
      <c r="G211">
        <v>14</v>
      </c>
      <c r="H211">
        <v>2.09</v>
      </c>
      <c r="I211">
        <v>45.438400000000001</v>
      </c>
      <c r="J211">
        <v>10.9916</v>
      </c>
      <c r="K211">
        <v>45.464199999999998</v>
      </c>
      <c r="L211">
        <v>9.19</v>
      </c>
      <c r="M211" s="7">
        <f t="shared" si="3"/>
        <v>140.56002944653866</v>
      </c>
      <c r="N211" s="7">
        <f>TBL_VIAGGI[[#This Row],[Km percosi-Linea d''aria]]*1.25</f>
        <v>175.70003680817334</v>
      </c>
      <c r="O211"/>
      <c r="P211"/>
      <c r="R211"/>
    </row>
    <row r="212" spans="1:18" x14ac:dyDescent="0.3">
      <c r="A212" s="1">
        <v>45463</v>
      </c>
      <c r="B212" s="7" t="s">
        <v>14</v>
      </c>
      <c r="C212" s="7" t="s">
        <v>10</v>
      </c>
      <c r="D212" s="7" t="s">
        <v>11</v>
      </c>
      <c r="E212" s="7" t="s">
        <v>23</v>
      </c>
      <c r="F212" s="7" t="s">
        <v>21</v>
      </c>
      <c r="G212">
        <v>16</v>
      </c>
      <c r="H212">
        <v>2</v>
      </c>
      <c r="I212">
        <v>45.438400000000001</v>
      </c>
      <c r="J212">
        <v>10.9916</v>
      </c>
      <c r="K212">
        <v>46.074800000000003</v>
      </c>
      <c r="L212">
        <v>11.121700000000001</v>
      </c>
      <c r="M212" s="7">
        <f t="shared" si="3"/>
        <v>71.480621044461714</v>
      </c>
      <c r="N212" s="7">
        <f>TBL_VIAGGI[[#This Row],[Km percosi-Linea d''aria]]*1.25</f>
        <v>89.350776305577142</v>
      </c>
      <c r="O212"/>
      <c r="P212"/>
      <c r="R212"/>
    </row>
    <row r="213" spans="1:18" x14ac:dyDescent="0.3">
      <c r="A213" s="1">
        <v>45360</v>
      </c>
      <c r="B213" s="7" t="s">
        <v>22</v>
      </c>
      <c r="C213" s="7" t="s">
        <v>24</v>
      </c>
      <c r="D213" s="7" t="s">
        <v>11</v>
      </c>
      <c r="E213" s="7" t="s">
        <v>29</v>
      </c>
      <c r="F213" s="7" t="s">
        <v>19</v>
      </c>
      <c r="G213">
        <v>14</v>
      </c>
      <c r="H213">
        <v>1.78</v>
      </c>
      <c r="I213">
        <v>45.438400000000001</v>
      </c>
      <c r="J213">
        <v>10.9916</v>
      </c>
      <c r="K213">
        <v>45.464199999999998</v>
      </c>
      <c r="L213">
        <v>9.19</v>
      </c>
      <c r="M213" s="7">
        <f t="shared" si="3"/>
        <v>140.56002944653866</v>
      </c>
      <c r="N213" s="7">
        <f>TBL_VIAGGI[[#This Row],[Km percosi-Linea d''aria]]*1.25</f>
        <v>175.70003680817334</v>
      </c>
      <c r="O213"/>
      <c r="P213"/>
      <c r="R213"/>
    </row>
    <row r="214" spans="1:18" x14ac:dyDescent="0.3">
      <c r="A214" s="1">
        <v>45459</v>
      </c>
      <c r="B214" s="7" t="s">
        <v>22</v>
      </c>
      <c r="C214" s="7" t="s">
        <v>15</v>
      </c>
      <c r="D214" s="7" t="s">
        <v>11</v>
      </c>
      <c r="E214" s="7" t="s">
        <v>20</v>
      </c>
      <c r="F214" s="7" t="s">
        <v>25</v>
      </c>
      <c r="G214">
        <v>18</v>
      </c>
      <c r="H214">
        <v>1.84</v>
      </c>
      <c r="I214">
        <v>45.438400000000001</v>
      </c>
      <c r="J214">
        <v>10.9916</v>
      </c>
      <c r="K214">
        <v>45.156399999999998</v>
      </c>
      <c r="L214">
        <v>10.791399999999999</v>
      </c>
      <c r="M214" s="7">
        <f t="shared" si="3"/>
        <v>35.049482425494702</v>
      </c>
      <c r="N214" s="7">
        <f>TBL_VIAGGI[[#This Row],[Km percosi-Linea d''aria]]*1.25</f>
        <v>43.811853031868381</v>
      </c>
      <c r="O214"/>
      <c r="P214"/>
      <c r="R214"/>
    </row>
    <row r="215" spans="1:18" x14ac:dyDescent="0.3">
      <c r="A215" s="1">
        <v>45295</v>
      </c>
      <c r="B215" s="7" t="s">
        <v>27</v>
      </c>
      <c r="C215" s="7" t="s">
        <v>26</v>
      </c>
      <c r="D215" s="7" t="s">
        <v>11</v>
      </c>
      <c r="E215" s="7" t="s">
        <v>29</v>
      </c>
      <c r="F215" s="7" t="s">
        <v>19</v>
      </c>
      <c r="G215">
        <v>14</v>
      </c>
      <c r="H215">
        <v>1.91</v>
      </c>
      <c r="I215">
        <v>45.438400000000001</v>
      </c>
      <c r="J215">
        <v>10.9916</v>
      </c>
      <c r="K215">
        <v>45.464199999999998</v>
      </c>
      <c r="L215">
        <v>9.19</v>
      </c>
      <c r="M215" s="7">
        <f t="shared" si="3"/>
        <v>140.56002944653866</v>
      </c>
      <c r="N215" s="7">
        <f>TBL_VIAGGI[[#This Row],[Km percosi-Linea d''aria]]*1.25</f>
        <v>175.70003680817334</v>
      </c>
      <c r="O215"/>
      <c r="P215"/>
      <c r="R215"/>
    </row>
    <row r="216" spans="1:18" x14ac:dyDescent="0.3">
      <c r="A216" s="1">
        <v>45556</v>
      </c>
      <c r="B216" s="7" t="s">
        <v>9</v>
      </c>
      <c r="C216" s="7" t="s">
        <v>26</v>
      </c>
      <c r="D216" s="7" t="s">
        <v>11</v>
      </c>
      <c r="E216" s="7" t="s">
        <v>20</v>
      </c>
      <c r="F216" s="7" t="s">
        <v>19</v>
      </c>
      <c r="G216">
        <v>14</v>
      </c>
      <c r="H216">
        <v>2.04</v>
      </c>
      <c r="I216">
        <v>45.438400000000001</v>
      </c>
      <c r="J216">
        <v>10.9916</v>
      </c>
      <c r="K216">
        <v>45.156399999999998</v>
      </c>
      <c r="L216">
        <v>10.791399999999999</v>
      </c>
      <c r="M216" s="7">
        <f t="shared" si="3"/>
        <v>35.049482425494702</v>
      </c>
      <c r="N216" s="7">
        <f>TBL_VIAGGI[[#This Row],[Km percosi-Linea d''aria]]*1.25</f>
        <v>43.811853031868381</v>
      </c>
      <c r="O216"/>
      <c r="P216"/>
      <c r="R216"/>
    </row>
    <row r="217" spans="1:18" x14ac:dyDescent="0.3">
      <c r="A217" s="1">
        <v>45403</v>
      </c>
      <c r="B217" s="7" t="s">
        <v>28</v>
      </c>
      <c r="C217" s="7" t="s">
        <v>10</v>
      </c>
      <c r="D217" s="7" t="s">
        <v>11</v>
      </c>
      <c r="E217" s="7" t="s">
        <v>23</v>
      </c>
      <c r="F217" s="7" t="s">
        <v>21</v>
      </c>
      <c r="G217">
        <v>16</v>
      </c>
      <c r="H217">
        <v>1.88</v>
      </c>
      <c r="I217">
        <v>45.438400000000001</v>
      </c>
      <c r="J217">
        <v>10.9916</v>
      </c>
      <c r="K217">
        <v>46.074800000000003</v>
      </c>
      <c r="L217">
        <v>11.121700000000001</v>
      </c>
      <c r="M217" s="7">
        <f t="shared" si="3"/>
        <v>71.480621044461714</v>
      </c>
      <c r="N217" s="7">
        <f>TBL_VIAGGI[[#This Row],[Km percosi-Linea d''aria]]*1.25</f>
        <v>89.350776305577142</v>
      </c>
      <c r="O217"/>
      <c r="P217"/>
      <c r="R217"/>
    </row>
    <row r="218" spans="1:18" x14ac:dyDescent="0.3">
      <c r="A218" s="1">
        <v>45337</v>
      </c>
      <c r="B218" s="7" t="s">
        <v>28</v>
      </c>
      <c r="C218" s="7" t="s">
        <v>26</v>
      </c>
      <c r="D218" s="7" t="s">
        <v>11</v>
      </c>
      <c r="E218" s="7" t="s">
        <v>18</v>
      </c>
      <c r="F218" s="7" t="s">
        <v>13</v>
      </c>
      <c r="G218">
        <v>20</v>
      </c>
      <c r="H218">
        <v>1.84</v>
      </c>
      <c r="I218">
        <v>45.438400000000001</v>
      </c>
      <c r="J218">
        <v>10.9916</v>
      </c>
      <c r="K218">
        <v>45.541600000000003</v>
      </c>
      <c r="L218">
        <v>10.2118</v>
      </c>
      <c r="M218" s="7">
        <f t="shared" si="3"/>
        <v>61.859907199936103</v>
      </c>
      <c r="N218" s="7">
        <f>TBL_VIAGGI[[#This Row],[Km percosi-Linea d''aria]]*1.25</f>
        <v>77.324883999920132</v>
      </c>
      <c r="O218"/>
      <c r="P218"/>
      <c r="R218"/>
    </row>
    <row r="219" spans="1:18" x14ac:dyDescent="0.3">
      <c r="A219" s="1">
        <v>45632</v>
      </c>
      <c r="B219" s="7" t="s">
        <v>9</v>
      </c>
      <c r="C219" s="7" t="s">
        <v>31</v>
      </c>
      <c r="D219" s="7" t="s">
        <v>11</v>
      </c>
      <c r="E219" s="7" t="s">
        <v>16</v>
      </c>
      <c r="F219" s="7" t="s">
        <v>13</v>
      </c>
      <c r="G219">
        <v>20</v>
      </c>
      <c r="H219">
        <v>1.87</v>
      </c>
      <c r="I219">
        <v>45.438400000000001</v>
      </c>
      <c r="J219">
        <v>10.9916</v>
      </c>
      <c r="K219">
        <v>45.545499999999997</v>
      </c>
      <c r="L219">
        <v>11.535399999999999</v>
      </c>
      <c r="M219" s="7">
        <f t="shared" si="3"/>
        <v>44.029532629220121</v>
      </c>
      <c r="N219" s="7">
        <f>TBL_VIAGGI[[#This Row],[Km percosi-Linea d''aria]]*1.25</f>
        <v>55.036915786525149</v>
      </c>
      <c r="O219"/>
      <c r="P219"/>
      <c r="R219"/>
    </row>
    <row r="220" spans="1:18" x14ac:dyDescent="0.3">
      <c r="A220" s="1">
        <v>45372</v>
      </c>
      <c r="B220" s="7" t="s">
        <v>27</v>
      </c>
      <c r="C220" s="7" t="s">
        <v>26</v>
      </c>
      <c r="D220" s="7" t="s">
        <v>11</v>
      </c>
      <c r="E220" s="7" t="s">
        <v>20</v>
      </c>
      <c r="F220" s="7" t="s">
        <v>21</v>
      </c>
      <c r="G220">
        <v>16</v>
      </c>
      <c r="H220">
        <v>1.91</v>
      </c>
      <c r="I220">
        <v>45.438400000000001</v>
      </c>
      <c r="J220">
        <v>10.9916</v>
      </c>
      <c r="K220">
        <v>45.156399999999998</v>
      </c>
      <c r="L220">
        <v>10.791399999999999</v>
      </c>
      <c r="M220" s="7">
        <f t="shared" si="3"/>
        <v>35.049482425494702</v>
      </c>
      <c r="N220" s="7">
        <f>TBL_VIAGGI[[#This Row],[Km percosi-Linea d''aria]]*1.25</f>
        <v>43.811853031868381</v>
      </c>
      <c r="O220"/>
      <c r="P220"/>
      <c r="R220"/>
    </row>
    <row r="221" spans="1:18" x14ac:dyDescent="0.3">
      <c r="A221" s="1">
        <v>45621</v>
      </c>
      <c r="B221" s="7" t="s">
        <v>28</v>
      </c>
      <c r="C221" s="7" t="s">
        <v>17</v>
      </c>
      <c r="D221" s="7" t="s">
        <v>11</v>
      </c>
      <c r="E221" s="7" t="s">
        <v>12</v>
      </c>
      <c r="F221" s="7" t="s">
        <v>21</v>
      </c>
      <c r="G221">
        <v>16</v>
      </c>
      <c r="H221">
        <v>2.0499999999999998</v>
      </c>
      <c r="I221">
        <v>45.438400000000001</v>
      </c>
      <c r="J221">
        <v>10.9916</v>
      </c>
      <c r="K221">
        <v>45.406399999999998</v>
      </c>
      <c r="L221">
        <v>11.876799999999999</v>
      </c>
      <c r="M221" s="7">
        <f t="shared" si="3"/>
        <v>69.17656464510614</v>
      </c>
      <c r="N221" s="7">
        <f>TBL_VIAGGI[[#This Row],[Km percosi-Linea d''aria]]*1.25</f>
        <v>86.470705806382682</v>
      </c>
      <c r="O221"/>
      <c r="P221"/>
      <c r="R221"/>
    </row>
    <row r="222" spans="1:18" x14ac:dyDescent="0.3">
      <c r="A222" s="1">
        <v>45426</v>
      </c>
      <c r="B222" s="7" t="s">
        <v>9</v>
      </c>
      <c r="C222" s="7" t="s">
        <v>31</v>
      </c>
      <c r="D222" s="7" t="s">
        <v>11</v>
      </c>
      <c r="E222" s="7" t="s">
        <v>23</v>
      </c>
      <c r="F222" s="7" t="s">
        <v>19</v>
      </c>
      <c r="G222">
        <v>14</v>
      </c>
      <c r="H222">
        <v>1.79</v>
      </c>
      <c r="I222">
        <v>45.438400000000001</v>
      </c>
      <c r="J222">
        <v>10.9916</v>
      </c>
      <c r="K222">
        <v>46.074800000000003</v>
      </c>
      <c r="L222">
        <v>11.121700000000001</v>
      </c>
      <c r="M222" s="7">
        <f t="shared" si="3"/>
        <v>71.480621044461714</v>
      </c>
      <c r="N222" s="7">
        <f>TBL_VIAGGI[[#This Row],[Km percosi-Linea d''aria]]*1.25</f>
        <v>89.350776305577142</v>
      </c>
      <c r="O222"/>
      <c r="P222"/>
      <c r="R222"/>
    </row>
    <row r="223" spans="1:18" x14ac:dyDescent="0.3">
      <c r="A223" s="1">
        <v>45617</v>
      </c>
      <c r="B223" s="7" t="s">
        <v>14</v>
      </c>
      <c r="C223" s="7" t="s">
        <v>15</v>
      </c>
      <c r="D223" s="7" t="s">
        <v>11</v>
      </c>
      <c r="E223" s="7" t="s">
        <v>23</v>
      </c>
      <c r="F223" s="7" t="s">
        <v>21</v>
      </c>
      <c r="G223">
        <v>16</v>
      </c>
      <c r="H223">
        <v>2.06</v>
      </c>
      <c r="I223">
        <v>45.438400000000001</v>
      </c>
      <c r="J223">
        <v>10.9916</v>
      </c>
      <c r="K223">
        <v>46.074800000000003</v>
      </c>
      <c r="L223">
        <v>11.121700000000001</v>
      </c>
      <c r="M223" s="7">
        <f t="shared" si="3"/>
        <v>71.480621044461714</v>
      </c>
      <c r="N223" s="7">
        <f>TBL_VIAGGI[[#This Row],[Km percosi-Linea d''aria]]*1.25</f>
        <v>89.350776305577142</v>
      </c>
      <c r="O223"/>
      <c r="P223"/>
      <c r="R223"/>
    </row>
    <row r="224" spans="1:18" x14ac:dyDescent="0.3">
      <c r="A224" s="1">
        <v>45450</v>
      </c>
      <c r="B224" s="7" t="s">
        <v>22</v>
      </c>
      <c r="C224" s="7" t="s">
        <v>26</v>
      </c>
      <c r="D224" s="7" t="s">
        <v>11</v>
      </c>
      <c r="E224" s="7" t="s">
        <v>30</v>
      </c>
      <c r="F224" s="7" t="s">
        <v>19</v>
      </c>
      <c r="G224">
        <v>14</v>
      </c>
      <c r="H224">
        <v>1.98</v>
      </c>
      <c r="I224">
        <v>45.438400000000001</v>
      </c>
      <c r="J224">
        <v>10.9916</v>
      </c>
      <c r="K224">
        <v>44.494900000000001</v>
      </c>
      <c r="L224">
        <v>11.342599999999999</v>
      </c>
      <c r="M224" s="7">
        <f t="shared" si="3"/>
        <v>108.4853856935753</v>
      </c>
      <c r="N224" s="7">
        <f>TBL_VIAGGI[[#This Row],[Km percosi-Linea d''aria]]*1.25</f>
        <v>135.60673211696911</v>
      </c>
      <c r="O224"/>
      <c r="P224"/>
      <c r="R224"/>
    </row>
    <row r="225" spans="1:18" x14ac:dyDescent="0.3">
      <c r="A225" s="1">
        <v>45443</v>
      </c>
      <c r="B225" s="7" t="s">
        <v>28</v>
      </c>
      <c r="C225" s="7" t="s">
        <v>10</v>
      </c>
      <c r="D225" s="7" t="s">
        <v>11</v>
      </c>
      <c r="E225" s="7" t="s">
        <v>12</v>
      </c>
      <c r="F225" s="7" t="s">
        <v>21</v>
      </c>
      <c r="G225">
        <v>16</v>
      </c>
      <c r="H225">
        <v>1.83</v>
      </c>
      <c r="I225">
        <v>45.438400000000001</v>
      </c>
      <c r="J225">
        <v>10.9916</v>
      </c>
      <c r="K225">
        <v>45.406399999999998</v>
      </c>
      <c r="L225">
        <v>11.876799999999999</v>
      </c>
      <c r="M225" s="7">
        <f t="shared" si="3"/>
        <v>69.17656464510614</v>
      </c>
      <c r="N225" s="7">
        <f>TBL_VIAGGI[[#This Row],[Km percosi-Linea d''aria]]*1.25</f>
        <v>86.470705806382682</v>
      </c>
      <c r="O225"/>
      <c r="P225"/>
      <c r="R225"/>
    </row>
    <row r="226" spans="1:18" x14ac:dyDescent="0.3">
      <c r="A226" s="1">
        <v>45371</v>
      </c>
      <c r="B226" s="7" t="s">
        <v>14</v>
      </c>
      <c r="C226" s="7" t="s">
        <v>17</v>
      </c>
      <c r="D226" s="7" t="s">
        <v>11</v>
      </c>
      <c r="E226" s="7" t="s">
        <v>16</v>
      </c>
      <c r="F226" s="7" t="s">
        <v>19</v>
      </c>
      <c r="G226">
        <v>14</v>
      </c>
      <c r="H226">
        <v>2.0299999999999998</v>
      </c>
      <c r="I226">
        <v>45.438400000000001</v>
      </c>
      <c r="J226">
        <v>10.9916</v>
      </c>
      <c r="K226">
        <v>45.545499999999997</v>
      </c>
      <c r="L226">
        <v>11.535399999999999</v>
      </c>
      <c r="M226" s="7">
        <f t="shared" si="3"/>
        <v>44.029532629220121</v>
      </c>
      <c r="N226" s="7">
        <f>TBL_VIAGGI[[#This Row],[Km percosi-Linea d''aria]]*1.25</f>
        <v>55.036915786525149</v>
      </c>
      <c r="O226"/>
      <c r="P226"/>
      <c r="R226"/>
    </row>
    <row r="227" spans="1:18" x14ac:dyDescent="0.3">
      <c r="A227" s="1">
        <v>45608</v>
      </c>
      <c r="B227" s="7" t="s">
        <v>14</v>
      </c>
      <c r="C227" s="7" t="s">
        <v>31</v>
      </c>
      <c r="D227" s="7" t="s">
        <v>11</v>
      </c>
      <c r="E227" s="7" t="s">
        <v>30</v>
      </c>
      <c r="F227" s="7" t="s">
        <v>25</v>
      </c>
      <c r="G227">
        <v>18</v>
      </c>
      <c r="H227">
        <v>1.81</v>
      </c>
      <c r="I227">
        <v>45.438400000000001</v>
      </c>
      <c r="J227">
        <v>10.9916</v>
      </c>
      <c r="K227">
        <v>44.494900000000001</v>
      </c>
      <c r="L227">
        <v>11.342599999999999</v>
      </c>
      <c r="M227" s="7">
        <f t="shared" si="3"/>
        <v>108.4853856935753</v>
      </c>
      <c r="N227" s="7">
        <f>TBL_VIAGGI[[#This Row],[Km percosi-Linea d''aria]]*1.25</f>
        <v>135.60673211696911</v>
      </c>
      <c r="O227"/>
      <c r="P227"/>
      <c r="R227"/>
    </row>
    <row r="228" spans="1:18" x14ac:dyDescent="0.3">
      <c r="A228" s="1">
        <v>45540</v>
      </c>
      <c r="B228" s="7" t="s">
        <v>27</v>
      </c>
      <c r="C228" s="7" t="s">
        <v>24</v>
      </c>
      <c r="D228" s="7" t="s">
        <v>11</v>
      </c>
      <c r="E228" s="7" t="s">
        <v>18</v>
      </c>
      <c r="F228" s="7" t="s">
        <v>19</v>
      </c>
      <c r="G228">
        <v>14</v>
      </c>
      <c r="H228">
        <v>1.8</v>
      </c>
      <c r="I228">
        <v>45.438400000000001</v>
      </c>
      <c r="J228">
        <v>10.9916</v>
      </c>
      <c r="K228">
        <v>45.541600000000003</v>
      </c>
      <c r="L228">
        <v>10.2118</v>
      </c>
      <c r="M228" s="7">
        <f t="shared" si="3"/>
        <v>61.859907199936103</v>
      </c>
      <c r="N228" s="7">
        <f>TBL_VIAGGI[[#This Row],[Km percosi-Linea d''aria]]*1.25</f>
        <v>77.324883999920132</v>
      </c>
      <c r="O228"/>
      <c r="P228"/>
      <c r="R228"/>
    </row>
    <row r="229" spans="1:18" x14ac:dyDescent="0.3">
      <c r="A229" s="1">
        <v>45517</v>
      </c>
      <c r="B229" s="7" t="s">
        <v>28</v>
      </c>
      <c r="C229" s="7" t="s">
        <v>31</v>
      </c>
      <c r="D229" s="7" t="s">
        <v>11</v>
      </c>
      <c r="E229" s="7" t="s">
        <v>29</v>
      </c>
      <c r="F229" s="7" t="s">
        <v>21</v>
      </c>
      <c r="G229">
        <v>16</v>
      </c>
      <c r="H229">
        <v>1.98</v>
      </c>
      <c r="I229">
        <v>45.438400000000001</v>
      </c>
      <c r="J229">
        <v>10.9916</v>
      </c>
      <c r="K229">
        <v>45.464199999999998</v>
      </c>
      <c r="L229">
        <v>9.19</v>
      </c>
      <c r="M229" s="7">
        <f t="shared" si="3"/>
        <v>140.56002944653866</v>
      </c>
      <c r="N229" s="7">
        <f>TBL_VIAGGI[[#This Row],[Km percosi-Linea d''aria]]*1.25</f>
        <v>175.70003680817334</v>
      </c>
      <c r="O229"/>
      <c r="P229"/>
      <c r="R229"/>
    </row>
    <row r="230" spans="1:18" x14ac:dyDescent="0.3">
      <c r="A230" s="1">
        <v>45552</v>
      </c>
      <c r="B230" s="7" t="s">
        <v>28</v>
      </c>
      <c r="C230" s="7" t="s">
        <v>15</v>
      </c>
      <c r="D230" s="7" t="s">
        <v>11</v>
      </c>
      <c r="E230" s="7" t="s">
        <v>30</v>
      </c>
      <c r="F230" s="7" t="s">
        <v>13</v>
      </c>
      <c r="G230">
        <v>20</v>
      </c>
      <c r="H230">
        <v>1.77</v>
      </c>
      <c r="I230">
        <v>45.438400000000001</v>
      </c>
      <c r="J230">
        <v>10.9916</v>
      </c>
      <c r="K230">
        <v>44.494900000000001</v>
      </c>
      <c r="L230">
        <v>11.342599999999999</v>
      </c>
      <c r="M230" s="7">
        <f t="shared" si="3"/>
        <v>108.4853856935753</v>
      </c>
      <c r="N230" s="7">
        <f>TBL_VIAGGI[[#This Row],[Km percosi-Linea d''aria]]*1.25</f>
        <v>135.60673211696911</v>
      </c>
      <c r="O230"/>
      <c r="P230"/>
      <c r="R230"/>
    </row>
    <row r="231" spans="1:18" x14ac:dyDescent="0.3">
      <c r="A231" s="1">
        <v>45458</v>
      </c>
      <c r="B231" s="7" t="s">
        <v>28</v>
      </c>
      <c r="C231" s="7" t="s">
        <v>10</v>
      </c>
      <c r="D231" s="7" t="s">
        <v>11</v>
      </c>
      <c r="E231" s="7" t="s">
        <v>30</v>
      </c>
      <c r="F231" s="7" t="s">
        <v>13</v>
      </c>
      <c r="G231">
        <v>20</v>
      </c>
      <c r="H231">
        <v>1.89</v>
      </c>
      <c r="I231">
        <v>45.438400000000001</v>
      </c>
      <c r="J231">
        <v>10.9916</v>
      </c>
      <c r="K231">
        <v>44.494900000000001</v>
      </c>
      <c r="L231">
        <v>11.342599999999999</v>
      </c>
      <c r="M231" s="7">
        <f t="shared" si="3"/>
        <v>108.4853856935753</v>
      </c>
      <c r="N231" s="7">
        <f>TBL_VIAGGI[[#This Row],[Km percosi-Linea d''aria]]*1.25</f>
        <v>135.60673211696911</v>
      </c>
      <c r="O231"/>
      <c r="P231"/>
      <c r="R231"/>
    </row>
    <row r="232" spans="1:18" x14ac:dyDescent="0.3">
      <c r="A232" s="1">
        <v>45652</v>
      </c>
      <c r="B232" s="7" t="s">
        <v>22</v>
      </c>
      <c r="C232" s="7" t="s">
        <v>31</v>
      </c>
      <c r="D232" s="7" t="s">
        <v>11</v>
      </c>
      <c r="E232" s="7" t="s">
        <v>18</v>
      </c>
      <c r="F232" s="7" t="s">
        <v>13</v>
      </c>
      <c r="G232">
        <v>20</v>
      </c>
      <c r="H232">
        <v>1.84</v>
      </c>
      <c r="I232">
        <v>45.438400000000001</v>
      </c>
      <c r="J232">
        <v>10.9916</v>
      </c>
      <c r="K232">
        <v>45.541600000000003</v>
      </c>
      <c r="L232">
        <v>10.2118</v>
      </c>
      <c r="M232" s="7">
        <f t="shared" si="3"/>
        <v>61.859907199936103</v>
      </c>
      <c r="N232" s="7">
        <f>TBL_VIAGGI[[#This Row],[Km percosi-Linea d''aria]]*1.25</f>
        <v>77.324883999920132</v>
      </c>
      <c r="O232"/>
      <c r="P232"/>
      <c r="R232"/>
    </row>
    <row r="233" spans="1:18" x14ac:dyDescent="0.3">
      <c r="A233" s="1">
        <v>45332</v>
      </c>
      <c r="B233" s="7" t="s">
        <v>14</v>
      </c>
      <c r="C233" s="7" t="s">
        <v>24</v>
      </c>
      <c r="D233" s="7" t="s">
        <v>11</v>
      </c>
      <c r="E233" s="7" t="s">
        <v>29</v>
      </c>
      <c r="F233" s="7" t="s">
        <v>21</v>
      </c>
      <c r="G233">
        <v>16</v>
      </c>
      <c r="H233">
        <v>1.93</v>
      </c>
      <c r="I233">
        <v>45.438400000000001</v>
      </c>
      <c r="J233">
        <v>10.9916</v>
      </c>
      <c r="K233">
        <v>45.464199999999998</v>
      </c>
      <c r="L233">
        <v>9.19</v>
      </c>
      <c r="M233" s="7">
        <f t="shared" si="3"/>
        <v>140.56002944653866</v>
      </c>
      <c r="N233" s="7">
        <f>TBL_VIAGGI[[#This Row],[Km percosi-Linea d''aria]]*1.25</f>
        <v>175.70003680817334</v>
      </c>
      <c r="O233"/>
      <c r="P233"/>
      <c r="R233"/>
    </row>
    <row r="234" spans="1:18" x14ac:dyDescent="0.3">
      <c r="A234" s="1">
        <v>45492</v>
      </c>
      <c r="B234" s="7" t="s">
        <v>9</v>
      </c>
      <c r="C234" s="7" t="s">
        <v>31</v>
      </c>
      <c r="D234" s="7" t="s">
        <v>11</v>
      </c>
      <c r="E234" s="7" t="s">
        <v>20</v>
      </c>
      <c r="F234" s="7" t="s">
        <v>13</v>
      </c>
      <c r="G234">
        <v>20</v>
      </c>
      <c r="H234">
        <v>1.93</v>
      </c>
      <c r="I234">
        <v>45.438400000000001</v>
      </c>
      <c r="J234">
        <v>10.9916</v>
      </c>
      <c r="K234">
        <v>45.156399999999998</v>
      </c>
      <c r="L234">
        <v>10.791399999999999</v>
      </c>
      <c r="M234" s="7">
        <f t="shared" si="3"/>
        <v>35.049482425494702</v>
      </c>
      <c r="N234" s="7">
        <f>TBL_VIAGGI[[#This Row],[Km percosi-Linea d''aria]]*1.25</f>
        <v>43.811853031868381</v>
      </c>
      <c r="O234"/>
      <c r="P234"/>
      <c r="R234"/>
    </row>
    <row r="235" spans="1:18" x14ac:dyDescent="0.3">
      <c r="A235" s="1">
        <v>45325</v>
      </c>
      <c r="B235" s="7" t="s">
        <v>14</v>
      </c>
      <c r="C235" s="7" t="s">
        <v>17</v>
      </c>
      <c r="D235" s="7" t="s">
        <v>11</v>
      </c>
      <c r="E235" s="7" t="s">
        <v>18</v>
      </c>
      <c r="F235" s="7" t="s">
        <v>21</v>
      </c>
      <c r="G235">
        <v>16</v>
      </c>
      <c r="H235">
        <v>2.1</v>
      </c>
      <c r="I235">
        <v>45.438400000000001</v>
      </c>
      <c r="J235">
        <v>10.9916</v>
      </c>
      <c r="K235">
        <v>45.541600000000003</v>
      </c>
      <c r="L235">
        <v>10.2118</v>
      </c>
      <c r="M235" s="7">
        <f t="shared" si="3"/>
        <v>61.859907199936103</v>
      </c>
      <c r="N235" s="7">
        <f>TBL_VIAGGI[[#This Row],[Km percosi-Linea d''aria]]*1.25</f>
        <v>77.324883999920132</v>
      </c>
      <c r="O235"/>
      <c r="P235"/>
      <c r="R235"/>
    </row>
    <row r="236" spans="1:18" x14ac:dyDescent="0.3">
      <c r="A236" s="1">
        <v>45649</v>
      </c>
      <c r="B236" s="7" t="s">
        <v>9</v>
      </c>
      <c r="C236" s="7" t="s">
        <v>15</v>
      </c>
      <c r="D236" s="7" t="s">
        <v>11</v>
      </c>
      <c r="E236" s="7" t="s">
        <v>16</v>
      </c>
      <c r="F236" s="7" t="s">
        <v>13</v>
      </c>
      <c r="G236">
        <v>20</v>
      </c>
      <c r="H236">
        <v>1.89</v>
      </c>
      <c r="I236">
        <v>45.438400000000001</v>
      </c>
      <c r="J236">
        <v>10.9916</v>
      </c>
      <c r="K236">
        <v>45.545499999999997</v>
      </c>
      <c r="L236">
        <v>11.535399999999999</v>
      </c>
      <c r="M236" s="7">
        <f t="shared" si="3"/>
        <v>44.029532629220121</v>
      </c>
      <c r="N236" s="7">
        <f>TBL_VIAGGI[[#This Row],[Km percosi-Linea d''aria]]*1.25</f>
        <v>55.036915786525149</v>
      </c>
      <c r="O236"/>
      <c r="P236"/>
      <c r="R236"/>
    </row>
    <row r="237" spans="1:18" x14ac:dyDescent="0.3">
      <c r="A237" s="1">
        <v>45391</v>
      </c>
      <c r="B237" s="7" t="s">
        <v>14</v>
      </c>
      <c r="C237" s="7" t="s">
        <v>15</v>
      </c>
      <c r="D237" s="7" t="s">
        <v>11</v>
      </c>
      <c r="E237" s="7" t="s">
        <v>18</v>
      </c>
      <c r="F237" s="7" t="s">
        <v>25</v>
      </c>
      <c r="G237">
        <v>18</v>
      </c>
      <c r="H237">
        <v>1.86</v>
      </c>
      <c r="I237">
        <v>45.438400000000001</v>
      </c>
      <c r="J237">
        <v>10.9916</v>
      </c>
      <c r="K237">
        <v>45.541600000000003</v>
      </c>
      <c r="L237">
        <v>10.2118</v>
      </c>
      <c r="M237" s="7">
        <f t="shared" si="3"/>
        <v>61.859907199936103</v>
      </c>
      <c r="N237" s="7">
        <f>TBL_VIAGGI[[#This Row],[Km percosi-Linea d''aria]]*1.25</f>
        <v>77.324883999920132</v>
      </c>
      <c r="O237"/>
      <c r="P237"/>
      <c r="R237"/>
    </row>
    <row r="238" spans="1:18" x14ac:dyDescent="0.3">
      <c r="A238" s="1">
        <v>45418</v>
      </c>
      <c r="B238" s="7" t="s">
        <v>14</v>
      </c>
      <c r="C238" s="7" t="s">
        <v>24</v>
      </c>
      <c r="D238" s="7" t="s">
        <v>11</v>
      </c>
      <c r="E238" s="7" t="s">
        <v>16</v>
      </c>
      <c r="F238" s="7" t="s">
        <v>25</v>
      </c>
      <c r="G238">
        <v>18</v>
      </c>
      <c r="H238">
        <v>1.78</v>
      </c>
      <c r="I238">
        <v>45.438400000000001</v>
      </c>
      <c r="J238">
        <v>10.9916</v>
      </c>
      <c r="K238">
        <v>45.545499999999997</v>
      </c>
      <c r="L238">
        <v>11.535399999999999</v>
      </c>
      <c r="M238" s="7">
        <f t="shared" si="3"/>
        <v>44.029532629220121</v>
      </c>
      <c r="N238" s="7">
        <f>TBL_VIAGGI[[#This Row],[Km percosi-Linea d''aria]]*1.25</f>
        <v>55.036915786525149</v>
      </c>
      <c r="O238"/>
      <c r="P238"/>
      <c r="R238"/>
    </row>
    <row r="239" spans="1:18" x14ac:dyDescent="0.3">
      <c r="A239" s="1">
        <v>45502</v>
      </c>
      <c r="B239" s="7" t="s">
        <v>14</v>
      </c>
      <c r="C239" s="7" t="s">
        <v>15</v>
      </c>
      <c r="D239" s="7" t="s">
        <v>11</v>
      </c>
      <c r="E239" s="7" t="s">
        <v>20</v>
      </c>
      <c r="F239" s="7" t="s">
        <v>21</v>
      </c>
      <c r="G239">
        <v>16</v>
      </c>
      <c r="H239">
        <v>1.97</v>
      </c>
      <c r="I239">
        <v>45.438400000000001</v>
      </c>
      <c r="J239">
        <v>10.9916</v>
      </c>
      <c r="K239">
        <v>45.156399999999998</v>
      </c>
      <c r="L239">
        <v>10.791399999999999</v>
      </c>
      <c r="M239" s="7">
        <f t="shared" si="3"/>
        <v>35.049482425494702</v>
      </c>
      <c r="N239" s="7">
        <f>TBL_VIAGGI[[#This Row],[Km percosi-Linea d''aria]]*1.25</f>
        <v>43.811853031868381</v>
      </c>
      <c r="O239"/>
      <c r="P239"/>
      <c r="R239"/>
    </row>
    <row r="240" spans="1:18" x14ac:dyDescent="0.3">
      <c r="A240" s="1">
        <v>45459</v>
      </c>
      <c r="B240" s="7" t="s">
        <v>14</v>
      </c>
      <c r="C240" s="7" t="s">
        <v>15</v>
      </c>
      <c r="D240" s="7" t="s">
        <v>11</v>
      </c>
      <c r="E240" s="7" t="s">
        <v>18</v>
      </c>
      <c r="F240" s="7" t="s">
        <v>25</v>
      </c>
      <c r="G240">
        <v>18</v>
      </c>
      <c r="H240">
        <v>1.93</v>
      </c>
      <c r="I240">
        <v>45.438400000000001</v>
      </c>
      <c r="J240">
        <v>10.9916</v>
      </c>
      <c r="K240">
        <v>45.541600000000003</v>
      </c>
      <c r="L240">
        <v>10.2118</v>
      </c>
      <c r="M240" s="7">
        <f t="shared" si="3"/>
        <v>61.859907199936103</v>
      </c>
      <c r="N240" s="7">
        <f>TBL_VIAGGI[[#This Row],[Km percosi-Linea d''aria]]*1.25</f>
        <v>77.324883999920132</v>
      </c>
      <c r="O240"/>
      <c r="P240"/>
      <c r="R240"/>
    </row>
    <row r="241" spans="1:18" x14ac:dyDescent="0.3">
      <c r="A241" s="1">
        <v>45537</v>
      </c>
      <c r="B241" s="7" t="s">
        <v>9</v>
      </c>
      <c r="C241" s="7" t="s">
        <v>31</v>
      </c>
      <c r="D241" s="7" t="s">
        <v>11</v>
      </c>
      <c r="E241" s="7" t="s">
        <v>29</v>
      </c>
      <c r="F241" s="7" t="s">
        <v>19</v>
      </c>
      <c r="G241">
        <v>14</v>
      </c>
      <c r="H241">
        <v>1.84</v>
      </c>
      <c r="I241">
        <v>45.438400000000001</v>
      </c>
      <c r="J241">
        <v>10.9916</v>
      </c>
      <c r="K241">
        <v>45.464199999999998</v>
      </c>
      <c r="L241">
        <v>9.19</v>
      </c>
      <c r="M241" s="7">
        <f t="shared" si="3"/>
        <v>140.56002944653866</v>
      </c>
      <c r="N241" s="7">
        <f>TBL_VIAGGI[[#This Row],[Km percosi-Linea d''aria]]*1.25</f>
        <v>175.70003680817334</v>
      </c>
      <c r="O241"/>
      <c r="P241"/>
      <c r="R241"/>
    </row>
    <row r="242" spans="1:18" x14ac:dyDescent="0.3">
      <c r="A242" s="1">
        <v>45646</v>
      </c>
      <c r="B242" s="7" t="s">
        <v>14</v>
      </c>
      <c r="C242" s="7" t="s">
        <v>17</v>
      </c>
      <c r="D242" s="7" t="s">
        <v>11</v>
      </c>
      <c r="E242" s="7" t="s">
        <v>18</v>
      </c>
      <c r="F242" s="7" t="s">
        <v>25</v>
      </c>
      <c r="G242">
        <v>18</v>
      </c>
      <c r="H242">
        <v>1.82</v>
      </c>
      <c r="I242">
        <v>45.438400000000001</v>
      </c>
      <c r="J242">
        <v>10.9916</v>
      </c>
      <c r="K242">
        <v>45.541600000000003</v>
      </c>
      <c r="L242">
        <v>10.2118</v>
      </c>
      <c r="M242" s="7">
        <f t="shared" si="3"/>
        <v>61.859907199936103</v>
      </c>
      <c r="N242" s="7">
        <f>TBL_VIAGGI[[#This Row],[Km percosi-Linea d''aria]]*1.25</f>
        <v>77.324883999920132</v>
      </c>
      <c r="O242"/>
      <c r="P242"/>
      <c r="R242"/>
    </row>
    <row r="243" spans="1:18" x14ac:dyDescent="0.3">
      <c r="A243" s="1">
        <v>45387</v>
      </c>
      <c r="B243" s="7" t="s">
        <v>27</v>
      </c>
      <c r="C243" s="7" t="s">
        <v>26</v>
      </c>
      <c r="D243" s="7" t="s">
        <v>11</v>
      </c>
      <c r="E243" s="7" t="s">
        <v>16</v>
      </c>
      <c r="F243" s="7" t="s">
        <v>19</v>
      </c>
      <c r="G243">
        <v>14</v>
      </c>
      <c r="H243">
        <v>2.02</v>
      </c>
      <c r="I243">
        <v>45.438400000000001</v>
      </c>
      <c r="J243">
        <v>10.9916</v>
      </c>
      <c r="K243">
        <v>45.545499999999997</v>
      </c>
      <c r="L243">
        <v>11.535399999999999</v>
      </c>
      <c r="M243" s="7">
        <f t="shared" si="3"/>
        <v>44.029532629220121</v>
      </c>
      <c r="N243" s="7">
        <f>TBL_VIAGGI[[#This Row],[Km percosi-Linea d''aria]]*1.25</f>
        <v>55.036915786525149</v>
      </c>
      <c r="O243"/>
      <c r="P243"/>
      <c r="R243"/>
    </row>
    <row r="244" spans="1:18" x14ac:dyDescent="0.3">
      <c r="A244" s="1">
        <v>45374</v>
      </c>
      <c r="B244" s="7" t="s">
        <v>9</v>
      </c>
      <c r="C244" s="7" t="s">
        <v>15</v>
      </c>
      <c r="D244" s="7" t="s">
        <v>11</v>
      </c>
      <c r="E244" s="7" t="s">
        <v>23</v>
      </c>
      <c r="F244" s="7" t="s">
        <v>25</v>
      </c>
      <c r="G244">
        <v>18</v>
      </c>
      <c r="H244">
        <v>1.87</v>
      </c>
      <c r="I244">
        <v>45.438400000000001</v>
      </c>
      <c r="J244">
        <v>10.9916</v>
      </c>
      <c r="K244">
        <v>46.074800000000003</v>
      </c>
      <c r="L244">
        <v>11.121700000000001</v>
      </c>
      <c r="M244" s="7">
        <f t="shared" si="3"/>
        <v>71.480621044461714</v>
      </c>
      <c r="N244" s="7">
        <f>TBL_VIAGGI[[#This Row],[Km percosi-Linea d''aria]]*1.25</f>
        <v>89.350776305577142</v>
      </c>
      <c r="O244"/>
      <c r="P244"/>
      <c r="R244"/>
    </row>
    <row r="245" spans="1:18" x14ac:dyDescent="0.3">
      <c r="A245" s="1">
        <v>45497</v>
      </c>
      <c r="B245" s="7" t="s">
        <v>14</v>
      </c>
      <c r="C245" s="7" t="s">
        <v>17</v>
      </c>
      <c r="D245" s="7" t="s">
        <v>11</v>
      </c>
      <c r="E245" s="7" t="s">
        <v>20</v>
      </c>
      <c r="F245" s="7" t="s">
        <v>21</v>
      </c>
      <c r="G245">
        <v>16</v>
      </c>
      <c r="H245">
        <v>2.04</v>
      </c>
      <c r="I245">
        <v>45.438400000000001</v>
      </c>
      <c r="J245">
        <v>10.9916</v>
      </c>
      <c r="K245">
        <v>45.156399999999998</v>
      </c>
      <c r="L245">
        <v>10.791399999999999</v>
      </c>
      <c r="M245" s="7">
        <f t="shared" si="3"/>
        <v>35.049482425494702</v>
      </c>
      <c r="N245" s="7">
        <f>TBL_VIAGGI[[#This Row],[Km percosi-Linea d''aria]]*1.25</f>
        <v>43.811853031868381</v>
      </c>
      <c r="O245"/>
      <c r="P245"/>
      <c r="R245"/>
    </row>
    <row r="246" spans="1:18" x14ac:dyDescent="0.3">
      <c r="A246" s="1">
        <v>45494</v>
      </c>
      <c r="B246" s="7" t="s">
        <v>9</v>
      </c>
      <c r="C246" s="7" t="s">
        <v>15</v>
      </c>
      <c r="D246" s="7" t="s">
        <v>11</v>
      </c>
      <c r="E246" s="7" t="s">
        <v>18</v>
      </c>
      <c r="F246" s="7" t="s">
        <v>19</v>
      </c>
      <c r="G246">
        <v>14</v>
      </c>
      <c r="H246">
        <v>1.94</v>
      </c>
      <c r="I246">
        <v>45.438400000000001</v>
      </c>
      <c r="J246">
        <v>10.9916</v>
      </c>
      <c r="K246">
        <v>45.541600000000003</v>
      </c>
      <c r="L246">
        <v>10.2118</v>
      </c>
      <c r="M246" s="7">
        <f t="shared" si="3"/>
        <v>61.859907199936103</v>
      </c>
      <c r="N246" s="7">
        <f>TBL_VIAGGI[[#This Row],[Km percosi-Linea d''aria]]*1.25</f>
        <v>77.324883999920132</v>
      </c>
      <c r="O246"/>
      <c r="P246"/>
      <c r="R246"/>
    </row>
    <row r="247" spans="1:18" x14ac:dyDescent="0.3">
      <c r="A247" s="1">
        <v>45518</v>
      </c>
      <c r="B247" s="7" t="s">
        <v>9</v>
      </c>
      <c r="C247" s="7" t="s">
        <v>31</v>
      </c>
      <c r="D247" s="7" t="s">
        <v>11</v>
      </c>
      <c r="E247" s="7" t="s">
        <v>16</v>
      </c>
      <c r="F247" s="7" t="s">
        <v>19</v>
      </c>
      <c r="G247">
        <v>14</v>
      </c>
      <c r="H247">
        <v>2.1</v>
      </c>
      <c r="I247">
        <v>45.438400000000001</v>
      </c>
      <c r="J247">
        <v>10.9916</v>
      </c>
      <c r="K247">
        <v>45.545499999999997</v>
      </c>
      <c r="L247">
        <v>11.535399999999999</v>
      </c>
      <c r="M247" s="7">
        <f t="shared" si="3"/>
        <v>44.029532629220121</v>
      </c>
      <c r="N247" s="7">
        <f>TBL_VIAGGI[[#This Row],[Km percosi-Linea d''aria]]*1.25</f>
        <v>55.036915786525149</v>
      </c>
      <c r="O247"/>
      <c r="P247"/>
      <c r="R247"/>
    </row>
    <row r="248" spans="1:18" x14ac:dyDescent="0.3">
      <c r="A248" s="1">
        <v>45571</v>
      </c>
      <c r="B248" s="7" t="s">
        <v>27</v>
      </c>
      <c r="C248" s="7" t="s">
        <v>26</v>
      </c>
      <c r="D248" s="7" t="s">
        <v>11</v>
      </c>
      <c r="E248" s="7" t="s">
        <v>20</v>
      </c>
      <c r="F248" s="7" t="s">
        <v>19</v>
      </c>
      <c r="G248">
        <v>14</v>
      </c>
      <c r="H248">
        <v>1.75</v>
      </c>
      <c r="I248">
        <v>45.438400000000001</v>
      </c>
      <c r="J248">
        <v>10.9916</v>
      </c>
      <c r="K248">
        <v>45.156399999999998</v>
      </c>
      <c r="L248">
        <v>10.791399999999999</v>
      </c>
      <c r="M248" s="7">
        <f t="shared" si="3"/>
        <v>35.049482425494702</v>
      </c>
      <c r="N248" s="7">
        <f>TBL_VIAGGI[[#This Row],[Km percosi-Linea d''aria]]*1.25</f>
        <v>43.811853031868381</v>
      </c>
      <c r="O248"/>
      <c r="P248"/>
      <c r="R248"/>
    </row>
    <row r="249" spans="1:18" x14ac:dyDescent="0.3">
      <c r="A249" s="1">
        <v>45420</v>
      </c>
      <c r="B249" s="7" t="s">
        <v>28</v>
      </c>
      <c r="C249" s="7" t="s">
        <v>31</v>
      </c>
      <c r="D249" s="7" t="s">
        <v>11</v>
      </c>
      <c r="E249" s="7" t="s">
        <v>16</v>
      </c>
      <c r="F249" s="7" t="s">
        <v>13</v>
      </c>
      <c r="G249">
        <v>20</v>
      </c>
      <c r="H249">
        <v>2</v>
      </c>
      <c r="I249">
        <v>45.438400000000001</v>
      </c>
      <c r="J249">
        <v>10.9916</v>
      </c>
      <c r="K249">
        <v>45.545499999999997</v>
      </c>
      <c r="L249">
        <v>11.535399999999999</v>
      </c>
      <c r="M249" s="7">
        <f t="shared" si="3"/>
        <v>44.029532629220121</v>
      </c>
      <c r="N249" s="7">
        <f>TBL_VIAGGI[[#This Row],[Km percosi-Linea d''aria]]*1.25</f>
        <v>55.036915786525149</v>
      </c>
      <c r="O249"/>
      <c r="P249"/>
      <c r="R249"/>
    </row>
    <row r="250" spans="1:18" x14ac:dyDescent="0.3">
      <c r="A250" s="1">
        <v>45419</v>
      </c>
      <c r="B250" s="7" t="s">
        <v>9</v>
      </c>
      <c r="C250" s="7" t="s">
        <v>17</v>
      </c>
      <c r="D250" s="7" t="s">
        <v>11</v>
      </c>
      <c r="E250" s="7" t="s">
        <v>30</v>
      </c>
      <c r="F250" s="7" t="s">
        <v>21</v>
      </c>
      <c r="G250">
        <v>16</v>
      </c>
      <c r="H250">
        <v>1.76</v>
      </c>
      <c r="I250">
        <v>45.438400000000001</v>
      </c>
      <c r="J250">
        <v>10.9916</v>
      </c>
      <c r="K250">
        <v>44.494900000000001</v>
      </c>
      <c r="L250">
        <v>11.342599999999999</v>
      </c>
      <c r="M250" s="7">
        <f t="shared" si="3"/>
        <v>108.4853856935753</v>
      </c>
      <c r="N250" s="7">
        <f>TBL_VIAGGI[[#This Row],[Km percosi-Linea d''aria]]*1.25</f>
        <v>135.60673211696911</v>
      </c>
      <c r="O250"/>
      <c r="P250"/>
      <c r="R250"/>
    </row>
    <row r="251" spans="1:18" x14ac:dyDescent="0.3">
      <c r="A251" s="1">
        <v>45412</v>
      </c>
      <c r="B251" s="7" t="s">
        <v>28</v>
      </c>
      <c r="C251" s="7" t="s">
        <v>17</v>
      </c>
      <c r="D251" s="7" t="s">
        <v>11</v>
      </c>
      <c r="E251" s="7" t="s">
        <v>29</v>
      </c>
      <c r="F251" s="7" t="s">
        <v>21</v>
      </c>
      <c r="G251">
        <v>16</v>
      </c>
      <c r="H251">
        <v>1.98</v>
      </c>
      <c r="I251">
        <v>45.438400000000001</v>
      </c>
      <c r="J251">
        <v>10.9916</v>
      </c>
      <c r="K251">
        <v>45.464199999999998</v>
      </c>
      <c r="L251">
        <v>9.19</v>
      </c>
      <c r="M251" s="7">
        <f t="shared" si="3"/>
        <v>140.56002944653866</v>
      </c>
      <c r="N251" s="7">
        <f>TBL_VIAGGI[[#This Row],[Km percosi-Linea d''aria]]*1.25</f>
        <v>175.70003680817334</v>
      </c>
      <c r="O251"/>
      <c r="P251"/>
      <c r="R251"/>
    </row>
    <row r="252" spans="1:18" x14ac:dyDescent="0.3">
      <c r="A252" s="1">
        <v>45298</v>
      </c>
      <c r="B252" s="7" t="s">
        <v>9</v>
      </c>
      <c r="C252" s="7" t="s">
        <v>15</v>
      </c>
      <c r="D252" s="7" t="s">
        <v>11</v>
      </c>
      <c r="E252" s="7" t="s">
        <v>18</v>
      </c>
      <c r="F252" s="7" t="s">
        <v>19</v>
      </c>
      <c r="G252">
        <v>14</v>
      </c>
      <c r="H252">
        <v>1.88</v>
      </c>
      <c r="I252">
        <v>45.438400000000001</v>
      </c>
      <c r="J252">
        <v>10.9916</v>
      </c>
      <c r="K252">
        <v>45.541600000000003</v>
      </c>
      <c r="L252">
        <v>10.2118</v>
      </c>
      <c r="M252" s="7">
        <f t="shared" si="3"/>
        <v>61.859907199936103</v>
      </c>
      <c r="N252" s="7">
        <f>TBL_VIAGGI[[#This Row],[Km percosi-Linea d''aria]]*1.25</f>
        <v>77.324883999920132</v>
      </c>
      <c r="O252"/>
      <c r="P252"/>
      <c r="R252"/>
    </row>
    <row r="253" spans="1:18" x14ac:dyDescent="0.3">
      <c r="A253" s="1">
        <v>45349</v>
      </c>
      <c r="B253" s="7" t="s">
        <v>14</v>
      </c>
      <c r="C253" s="7" t="s">
        <v>24</v>
      </c>
      <c r="D253" s="7" t="s">
        <v>11</v>
      </c>
      <c r="E253" s="7" t="s">
        <v>23</v>
      </c>
      <c r="F253" s="7" t="s">
        <v>21</v>
      </c>
      <c r="G253">
        <v>16</v>
      </c>
      <c r="H253">
        <v>2.09</v>
      </c>
      <c r="I253">
        <v>45.438400000000001</v>
      </c>
      <c r="J253">
        <v>10.9916</v>
      </c>
      <c r="K253">
        <v>46.074800000000003</v>
      </c>
      <c r="L253">
        <v>11.121700000000001</v>
      </c>
      <c r="M253" s="7">
        <f t="shared" si="3"/>
        <v>71.480621044461714</v>
      </c>
      <c r="N253" s="7">
        <f>TBL_VIAGGI[[#This Row],[Km percosi-Linea d''aria]]*1.25</f>
        <v>89.350776305577142</v>
      </c>
      <c r="O253"/>
      <c r="P253"/>
      <c r="R253"/>
    </row>
    <row r="254" spans="1:18" x14ac:dyDescent="0.3">
      <c r="A254" s="1">
        <v>45561</v>
      </c>
      <c r="B254" s="7" t="s">
        <v>9</v>
      </c>
      <c r="C254" s="7" t="s">
        <v>17</v>
      </c>
      <c r="D254" s="7" t="s">
        <v>11</v>
      </c>
      <c r="E254" s="7" t="s">
        <v>23</v>
      </c>
      <c r="F254" s="7" t="s">
        <v>13</v>
      </c>
      <c r="G254">
        <v>20</v>
      </c>
      <c r="H254">
        <v>2.06</v>
      </c>
      <c r="I254">
        <v>45.438400000000001</v>
      </c>
      <c r="J254">
        <v>10.9916</v>
      </c>
      <c r="K254">
        <v>46.074800000000003</v>
      </c>
      <c r="L254">
        <v>11.121700000000001</v>
      </c>
      <c r="M254" s="7">
        <f t="shared" si="3"/>
        <v>71.480621044461714</v>
      </c>
      <c r="N254" s="7">
        <f>TBL_VIAGGI[[#This Row],[Km percosi-Linea d''aria]]*1.25</f>
        <v>89.350776305577142</v>
      </c>
      <c r="O254"/>
      <c r="P254"/>
      <c r="R254"/>
    </row>
    <row r="255" spans="1:18" x14ac:dyDescent="0.3">
      <c r="A255" s="1">
        <v>45469</v>
      </c>
      <c r="B255" s="7" t="s">
        <v>28</v>
      </c>
      <c r="C255" s="7" t="s">
        <v>31</v>
      </c>
      <c r="D255" s="7" t="s">
        <v>11</v>
      </c>
      <c r="E255" s="7" t="s">
        <v>23</v>
      </c>
      <c r="F255" s="7" t="s">
        <v>21</v>
      </c>
      <c r="G255">
        <v>16</v>
      </c>
      <c r="H255">
        <v>2.04</v>
      </c>
      <c r="I255">
        <v>45.438400000000001</v>
      </c>
      <c r="J255">
        <v>10.9916</v>
      </c>
      <c r="K255">
        <v>46.074800000000003</v>
      </c>
      <c r="L255">
        <v>11.121700000000001</v>
      </c>
      <c r="M255" s="7">
        <f t="shared" si="3"/>
        <v>71.480621044461714</v>
      </c>
      <c r="N255" s="7">
        <f>TBL_VIAGGI[[#This Row],[Km percosi-Linea d''aria]]*1.25</f>
        <v>89.350776305577142</v>
      </c>
      <c r="O255"/>
      <c r="P255"/>
      <c r="R255"/>
    </row>
    <row r="256" spans="1:18" x14ac:dyDescent="0.3">
      <c r="A256" s="1">
        <v>45604</v>
      </c>
      <c r="B256" s="7" t="s">
        <v>27</v>
      </c>
      <c r="C256" s="7" t="s">
        <v>31</v>
      </c>
      <c r="D256" s="7" t="s">
        <v>11</v>
      </c>
      <c r="E256" s="7" t="s">
        <v>23</v>
      </c>
      <c r="F256" s="7" t="s">
        <v>25</v>
      </c>
      <c r="G256">
        <v>18</v>
      </c>
      <c r="H256">
        <v>2.06</v>
      </c>
      <c r="I256">
        <v>45.438400000000001</v>
      </c>
      <c r="J256">
        <v>10.9916</v>
      </c>
      <c r="K256">
        <v>46.074800000000003</v>
      </c>
      <c r="L256">
        <v>11.121700000000001</v>
      </c>
      <c r="M256" s="7">
        <f t="shared" si="3"/>
        <v>71.480621044461714</v>
      </c>
      <c r="N256" s="7">
        <f>TBL_VIAGGI[[#This Row],[Km percosi-Linea d''aria]]*1.25</f>
        <v>89.350776305577142</v>
      </c>
      <c r="O256"/>
      <c r="P256"/>
      <c r="R256"/>
    </row>
    <row r="257" spans="1:18" x14ac:dyDescent="0.3">
      <c r="A257" s="1">
        <v>45638</v>
      </c>
      <c r="B257" s="7" t="s">
        <v>14</v>
      </c>
      <c r="C257" s="7" t="s">
        <v>26</v>
      </c>
      <c r="D257" s="7" t="s">
        <v>11</v>
      </c>
      <c r="E257" s="7" t="s">
        <v>12</v>
      </c>
      <c r="F257" s="7" t="s">
        <v>21</v>
      </c>
      <c r="G257">
        <v>16</v>
      </c>
      <c r="H257">
        <v>1.87</v>
      </c>
      <c r="I257">
        <v>45.438400000000001</v>
      </c>
      <c r="J257">
        <v>10.9916</v>
      </c>
      <c r="K257">
        <v>45.406399999999998</v>
      </c>
      <c r="L257">
        <v>11.876799999999999</v>
      </c>
      <c r="M257" s="7">
        <f t="shared" si="3"/>
        <v>69.17656464510614</v>
      </c>
      <c r="N257" s="7">
        <f>TBL_VIAGGI[[#This Row],[Km percosi-Linea d''aria]]*1.25</f>
        <v>86.470705806382682</v>
      </c>
      <c r="O257"/>
      <c r="P257"/>
      <c r="R257"/>
    </row>
    <row r="258" spans="1:18" x14ac:dyDescent="0.3">
      <c r="A258" s="1">
        <v>45645</v>
      </c>
      <c r="B258" s="7" t="s">
        <v>28</v>
      </c>
      <c r="C258" s="7" t="s">
        <v>15</v>
      </c>
      <c r="D258" s="7" t="s">
        <v>11</v>
      </c>
      <c r="E258" s="7" t="s">
        <v>12</v>
      </c>
      <c r="F258" s="7" t="s">
        <v>19</v>
      </c>
      <c r="G258">
        <v>14</v>
      </c>
      <c r="H258">
        <v>1.95</v>
      </c>
      <c r="I258">
        <v>45.438400000000001</v>
      </c>
      <c r="J258">
        <v>10.9916</v>
      </c>
      <c r="K258">
        <v>45.406399999999998</v>
      </c>
      <c r="L258">
        <v>11.876799999999999</v>
      </c>
      <c r="M258" s="7">
        <f t="shared" ref="M258:M301" si="4">6371*ACOS(
COS(RADIANS(90-I258))*
COS(RADIANS(90-K258))+
SIN(RADIANS(90-I258))*
SIN(RADIANS(90-K258))*
COS(RADIANS(J258-L258))
)</f>
        <v>69.17656464510614</v>
      </c>
      <c r="N258" s="7">
        <f>TBL_VIAGGI[[#This Row],[Km percosi-Linea d''aria]]*1.25</f>
        <v>86.470705806382682</v>
      </c>
      <c r="O258"/>
      <c r="P258"/>
      <c r="R258"/>
    </row>
    <row r="259" spans="1:18" x14ac:dyDescent="0.3">
      <c r="A259" s="1">
        <v>45364</v>
      </c>
      <c r="B259" s="7" t="s">
        <v>28</v>
      </c>
      <c r="C259" s="7" t="s">
        <v>24</v>
      </c>
      <c r="D259" s="7" t="s">
        <v>11</v>
      </c>
      <c r="E259" s="7" t="s">
        <v>20</v>
      </c>
      <c r="F259" s="7" t="s">
        <v>19</v>
      </c>
      <c r="G259">
        <v>14</v>
      </c>
      <c r="H259">
        <v>2.02</v>
      </c>
      <c r="I259">
        <v>45.438400000000001</v>
      </c>
      <c r="J259">
        <v>10.9916</v>
      </c>
      <c r="K259">
        <v>45.156399999999998</v>
      </c>
      <c r="L259">
        <v>10.791399999999999</v>
      </c>
      <c r="M259" s="7">
        <f t="shared" si="4"/>
        <v>35.049482425494702</v>
      </c>
      <c r="N259" s="7">
        <f>TBL_VIAGGI[[#This Row],[Km percosi-Linea d''aria]]*1.25</f>
        <v>43.811853031868381</v>
      </c>
      <c r="O259"/>
      <c r="P259"/>
      <c r="R259"/>
    </row>
    <row r="260" spans="1:18" x14ac:dyDescent="0.3">
      <c r="A260" s="1">
        <v>45364</v>
      </c>
      <c r="B260" s="7" t="s">
        <v>22</v>
      </c>
      <c r="C260" s="7" t="s">
        <v>26</v>
      </c>
      <c r="D260" s="7" t="s">
        <v>11</v>
      </c>
      <c r="E260" s="7" t="s">
        <v>18</v>
      </c>
      <c r="F260" s="7" t="s">
        <v>25</v>
      </c>
      <c r="G260">
        <v>18</v>
      </c>
      <c r="H260">
        <v>1.89</v>
      </c>
      <c r="I260">
        <v>45.438400000000001</v>
      </c>
      <c r="J260">
        <v>10.9916</v>
      </c>
      <c r="K260">
        <v>45.541600000000003</v>
      </c>
      <c r="L260">
        <v>10.2118</v>
      </c>
      <c r="M260" s="7">
        <f t="shared" si="4"/>
        <v>61.859907199936103</v>
      </c>
      <c r="N260" s="7">
        <f>TBL_VIAGGI[[#This Row],[Km percosi-Linea d''aria]]*1.25</f>
        <v>77.324883999920132</v>
      </c>
      <c r="O260"/>
      <c r="P260"/>
      <c r="R260"/>
    </row>
    <row r="261" spans="1:18" x14ac:dyDescent="0.3">
      <c r="A261" s="1">
        <v>45532</v>
      </c>
      <c r="B261" s="7" t="s">
        <v>9</v>
      </c>
      <c r="C261" s="7" t="s">
        <v>15</v>
      </c>
      <c r="D261" s="7" t="s">
        <v>11</v>
      </c>
      <c r="E261" s="7" t="s">
        <v>23</v>
      </c>
      <c r="F261" s="7" t="s">
        <v>19</v>
      </c>
      <c r="G261">
        <v>14</v>
      </c>
      <c r="H261">
        <v>2.08</v>
      </c>
      <c r="I261">
        <v>45.438400000000001</v>
      </c>
      <c r="J261">
        <v>10.9916</v>
      </c>
      <c r="K261">
        <v>46.074800000000003</v>
      </c>
      <c r="L261">
        <v>11.121700000000001</v>
      </c>
      <c r="M261" s="7">
        <f t="shared" si="4"/>
        <v>71.480621044461714</v>
      </c>
      <c r="N261" s="7">
        <f>TBL_VIAGGI[[#This Row],[Km percosi-Linea d''aria]]*1.25</f>
        <v>89.350776305577142</v>
      </c>
      <c r="O261"/>
      <c r="P261"/>
      <c r="R261"/>
    </row>
    <row r="262" spans="1:18" x14ac:dyDescent="0.3">
      <c r="A262" s="1">
        <v>45466</v>
      </c>
      <c r="B262" s="7" t="s">
        <v>27</v>
      </c>
      <c r="C262" s="7" t="s">
        <v>24</v>
      </c>
      <c r="D262" s="7" t="s">
        <v>11</v>
      </c>
      <c r="E262" s="7" t="s">
        <v>29</v>
      </c>
      <c r="F262" s="7" t="s">
        <v>25</v>
      </c>
      <c r="G262">
        <v>18</v>
      </c>
      <c r="H262">
        <v>1.82</v>
      </c>
      <c r="I262">
        <v>45.438400000000001</v>
      </c>
      <c r="J262">
        <v>10.9916</v>
      </c>
      <c r="K262">
        <v>45.464199999999998</v>
      </c>
      <c r="L262">
        <v>9.19</v>
      </c>
      <c r="M262" s="7">
        <f t="shared" si="4"/>
        <v>140.56002944653866</v>
      </c>
      <c r="N262" s="7">
        <f>TBL_VIAGGI[[#This Row],[Km percosi-Linea d''aria]]*1.25</f>
        <v>175.70003680817334</v>
      </c>
      <c r="O262"/>
      <c r="P262"/>
      <c r="R262"/>
    </row>
    <row r="263" spans="1:18" x14ac:dyDescent="0.3">
      <c r="A263" s="1">
        <v>45417</v>
      </c>
      <c r="B263" s="7" t="s">
        <v>14</v>
      </c>
      <c r="C263" s="7" t="s">
        <v>17</v>
      </c>
      <c r="D263" s="7" t="s">
        <v>11</v>
      </c>
      <c r="E263" s="7" t="s">
        <v>23</v>
      </c>
      <c r="F263" s="7" t="s">
        <v>13</v>
      </c>
      <c r="G263">
        <v>20</v>
      </c>
      <c r="H263">
        <v>1.89</v>
      </c>
      <c r="I263">
        <v>45.438400000000001</v>
      </c>
      <c r="J263">
        <v>10.9916</v>
      </c>
      <c r="K263">
        <v>46.074800000000003</v>
      </c>
      <c r="L263">
        <v>11.121700000000001</v>
      </c>
      <c r="M263" s="7">
        <f t="shared" si="4"/>
        <v>71.480621044461714</v>
      </c>
      <c r="N263" s="7">
        <f>TBL_VIAGGI[[#This Row],[Km percosi-Linea d''aria]]*1.25</f>
        <v>89.350776305577142</v>
      </c>
      <c r="O263"/>
      <c r="P263"/>
      <c r="R263"/>
    </row>
    <row r="264" spans="1:18" x14ac:dyDescent="0.3">
      <c r="A264" s="1">
        <v>45604</v>
      </c>
      <c r="B264" s="7" t="s">
        <v>27</v>
      </c>
      <c r="C264" s="7" t="s">
        <v>15</v>
      </c>
      <c r="D264" s="7" t="s">
        <v>11</v>
      </c>
      <c r="E264" s="7" t="s">
        <v>23</v>
      </c>
      <c r="F264" s="7" t="s">
        <v>21</v>
      </c>
      <c r="G264">
        <v>16</v>
      </c>
      <c r="H264">
        <v>2.1</v>
      </c>
      <c r="I264">
        <v>45.438400000000001</v>
      </c>
      <c r="J264">
        <v>10.9916</v>
      </c>
      <c r="K264">
        <v>46.074800000000003</v>
      </c>
      <c r="L264">
        <v>11.121700000000001</v>
      </c>
      <c r="M264" s="7">
        <f t="shared" si="4"/>
        <v>71.480621044461714</v>
      </c>
      <c r="N264" s="7">
        <f>TBL_VIAGGI[[#This Row],[Km percosi-Linea d''aria]]*1.25</f>
        <v>89.350776305577142</v>
      </c>
      <c r="O264"/>
      <c r="P264"/>
      <c r="R264"/>
    </row>
    <row r="265" spans="1:18" x14ac:dyDescent="0.3">
      <c r="A265" s="1">
        <v>45468</v>
      </c>
      <c r="B265" s="7" t="s">
        <v>9</v>
      </c>
      <c r="C265" s="7" t="s">
        <v>26</v>
      </c>
      <c r="D265" s="7" t="s">
        <v>11</v>
      </c>
      <c r="E265" s="7" t="s">
        <v>23</v>
      </c>
      <c r="F265" s="7" t="s">
        <v>13</v>
      </c>
      <c r="G265">
        <v>20</v>
      </c>
      <c r="H265">
        <v>1.77</v>
      </c>
      <c r="I265">
        <v>45.438400000000001</v>
      </c>
      <c r="J265">
        <v>10.9916</v>
      </c>
      <c r="K265">
        <v>46.074800000000003</v>
      </c>
      <c r="L265">
        <v>11.121700000000001</v>
      </c>
      <c r="M265" s="7">
        <f t="shared" si="4"/>
        <v>71.480621044461714</v>
      </c>
      <c r="N265" s="7">
        <f>TBL_VIAGGI[[#This Row],[Km percosi-Linea d''aria]]*1.25</f>
        <v>89.350776305577142</v>
      </c>
      <c r="O265"/>
      <c r="P265"/>
      <c r="R265"/>
    </row>
    <row r="266" spans="1:18" x14ac:dyDescent="0.3">
      <c r="A266" s="1">
        <v>45304</v>
      </c>
      <c r="B266" s="7" t="s">
        <v>9</v>
      </c>
      <c r="C266" s="7" t="s">
        <v>31</v>
      </c>
      <c r="D266" s="7" t="s">
        <v>11</v>
      </c>
      <c r="E266" s="7" t="s">
        <v>12</v>
      </c>
      <c r="F266" s="7" t="s">
        <v>21</v>
      </c>
      <c r="G266">
        <v>16</v>
      </c>
      <c r="H266">
        <v>2.02</v>
      </c>
      <c r="I266">
        <v>45.438400000000001</v>
      </c>
      <c r="J266">
        <v>10.9916</v>
      </c>
      <c r="K266">
        <v>45.406399999999998</v>
      </c>
      <c r="L266">
        <v>11.876799999999999</v>
      </c>
      <c r="M266" s="7">
        <f t="shared" si="4"/>
        <v>69.17656464510614</v>
      </c>
      <c r="N266" s="7">
        <f>TBL_VIAGGI[[#This Row],[Km percosi-Linea d''aria]]*1.25</f>
        <v>86.470705806382682</v>
      </c>
      <c r="O266"/>
      <c r="P266"/>
      <c r="R266"/>
    </row>
    <row r="267" spans="1:18" x14ac:dyDescent="0.3">
      <c r="A267" s="1">
        <v>45640</v>
      </c>
      <c r="B267" s="7" t="s">
        <v>9</v>
      </c>
      <c r="C267" s="7" t="s">
        <v>26</v>
      </c>
      <c r="D267" s="7" t="s">
        <v>11</v>
      </c>
      <c r="E267" s="7" t="s">
        <v>20</v>
      </c>
      <c r="F267" s="7" t="s">
        <v>19</v>
      </c>
      <c r="G267">
        <v>14</v>
      </c>
      <c r="H267">
        <v>1.97</v>
      </c>
      <c r="I267">
        <v>45.438400000000001</v>
      </c>
      <c r="J267">
        <v>10.9916</v>
      </c>
      <c r="K267">
        <v>45.156399999999998</v>
      </c>
      <c r="L267">
        <v>10.791399999999999</v>
      </c>
      <c r="M267" s="7">
        <f t="shared" si="4"/>
        <v>35.049482425494702</v>
      </c>
      <c r="N267" s="7">
        <f>TBL_VIAGGI[[#This Row],[Km percosi-Linea d''aria]]*1.25</f>
        <v>43.811853031868381</v>
      </c>
      <c r="O267"/>
      <c r="P267"/>
      <c r="R267"/>
    </row>
    <row r="268" spans="1:18" x14ac:dyDescent="0.3">
      <c r="A268" s="1">
        <v>45421</v>
      </c>
      <c r="B268" s="7" t="s">
        <v>28</v>
      </c>
      <c r="C268" s="7" t="s">
        <v>24</v>
      </c>
      <c r="D268" s="7" t="s">
        <v>11</v>
      </c>
      <c r="E268" s="7" t="s">
        <v>29</v>
      </c>
      <c r="F268" s="7" t="s">
        <v>19</v>
      </c>
      <c r="G268">
        <v>14</v>
      </c>
      <c r="H268">
        <v>1.91</v>
      </c>
      <c r="I268">
        <v>45.438400000000001</v>
      </c>
      <c r="J268">
        <v>10.9916</v>
      </c>
      <c r="K268">
        <v>45.464199999999998</v>
      </c>
      <c r="L268">
        <v>9.19</v>
      </c>
      <c r="M268" s="7">
        <f t="shared" si="4"/>
        <v>140.56002944653866</v>
      </c>
      <c r="N268" s="7">
        <f>TBL_VIAGGI[[#This Row],[Km percosi-Linea d''aria]]*1.25</f>
        <v>175.70003680817334</v>
      </c>
      <c r="O268"/>
      <c r="P268"/>
      <c r="R268"/>
    </row>
    <row r="269" spans="1:18" x14ac:dyDescent="0.3">
      <c r="A269" s="1">
        <v>45612</v>
      </c>
      <c r="B269" s="7" t="s">
        <v>28</v>
      </c>
      <c r="C269" s="7" t="s">
        <v>15</v>
      </c>
      <c r="D269" s="7" t="s">
        <v>11</v>
      </c>
      <c r="E269" s="7" t="s">
        <v>18</v>
      </c>
      <c r="F269" s="7" t="s">
        <v>25</v>
      </c>
      <c r="G269">
        <v>18</v>
      </c>
      <c r="H269">
        <v>2.0099999999999998</v>
      </c>
      <c r="I269">
        <v>45.438400000000001</v>
      </c>
      <c r="J269">
        <v>10.9916</v>
      </c>
      <c r="K269">
        <v>45.541600000000003</v>
      </c>
      <c r="L269">
        <v>10.2118</v>
      </c>
      <c r="M269" s="7">
        <f t="shared" si="4"/>
        <v>61.859907199936103</v>
      </c>
      <c r="N269" s="7">
        <f>TBL_VIAGGI[[#This Row],[Km percosi-Linea d''aria]]*1.25</f>
        <v>77.324883999920132</v>
      </c>
      <c r="O269"/>
      <c r="P269"/>
      <c r="R269"/>
    </row>
    <row r="270" spans="1:18" x14ac:dyDescent="0.3">
      <c r="A270" s="1">
        <v>45383</v>
      </c>
      <c r="B270" s="7" t="s">
        <v>14</v>
      </c>
      <c r="C270" s="7" t="s">
        <v>15</v>
      </c>
      <c r="D270" s="7" t="s">
        <v>11</v>
      </c>
      <c r="E270" s="7" t="s">
        <v>20</v>
      </c>
      <c r="F270" s="7" t="s">
        <v>25</v>
      </c>
      <c r="G270">
        <v>18</v>
      </c>
      <c r="H270">
        <v>2.0699999999999998</v>
      </c>
      <c r="I270">
        <v>45.438400000000001</v>
      </c>
      <c r="J270">
        <v>10.9916</v>
      </c>
      <c r="K270">
        <v>45.156399999999998</v>
      </c>
      <c r="L270">
        <v>10.791399999999999</v>
      </c>
      <c r="M270" s="7">
        <f t="shared" si="4"/>
        <v>35.049482425494702</v>
      </c>
      <c r="N270" s="7">
        <f>TBL_VIAGGI[[#This Row],[Km percosi-Linea d''aria]]*1.25</f>
        <v>43.811853031868381</v>
      </c>
      <c r="O270"/>
      <c r="P270"/>
      <c r="R270"/>
    </row>
    <row r="271" spans="1:18" x14ac:dyDescent="0.3">
      <c r="A271" s="1">
        <v>45500</v>
      </c>
      <c r="B271" s="7" t="s">
        <v>22</v>
      </c>
      <c r="C271" s="7" t="s">
        <v>10</v>
      </c>
      <c r="D271" s="7" t="s">
        <v>11</v>
      </c>
      <c r="E271" s="7" t="s">
        <v>29</v>
      </c>
      <c r="F271" s="7" t="s">
        <v>19</v>
      </c>
      <c r="G271">
        <v>14</v>
      </c>
      <c r="H271">
        <v>1.81</v>
      </c>
      <c r="I271">
        <v>45.438400000000001</v>
      </c>
      <c r="J271">
        <v>10.9916</v>
      </c>
      <c r="K271">
        <v>45.464199999999998</v>
      </c>
      <c r="L271">
        <v>9.19</v>
      </c>
      <c r="M271" s="7">
        <f t="shared" si="4"/>
        <v>140.56002944653866</v>
      </c>
      <c r="N271" s="7">
        <f>TBL_VIAGGI[[#This Row],[Km percosi-Linea d''aria]]*1.25</f>
        <v>175.70003680817334</v>
      </c>
      <c r="O271"/>
      <c r="P271"/>
      <c r="R271"/>
    </row>
    <row r="272" spans="1:18" x14ac:dyDescent="0.3">
      <c r="A272" s="1">
        <v>45441</v>
      </c>
      <c r="B272" s="7" t="s">
        <v>14</v>
      </c>
      <c r="C272" s="7" t="s">
        <v>15</v>
      </c>
      <c r="D272" s="7" t="s">
        <v>11</v>
      </c>
      <c r="E272" s="7" t="s">
        <v>12</v>
      </c>
      <c r="F272" s="7" t="s">
        <v>19</v>
      </c>
      <c r="G272">
        <v>14</v>
      </c>
      <c r="H272">
        <v>1.97</v>
      </c>
      <c r="I272">
        <v>45.438400000000001</v>
      </c>
      <c r="J272">
        <v>10.9916</v>
      </c>
      <c r="K272">
        <v>45.406399999999998</v>
      </c>
      <c r="L272">
        <v>11.876799999999999</v>
      </c>
      <c r="M272" s="7">
        <f t="shared" si="4"/>
        <v>69.17656464510614</v>
      </c>
      <c r="N272" s="7">
        <f>TBL_VIAGGI[[#This Row],[Km percosi-Linea d''aria]]*1.25</f>
        <v>86.470705806382682</v>
      </c>
      <c r="O272"/>
      <c r="P272"/>
      <c r="R272"/>
    </row>
    <row r="273" spans="1:18" x14ac:dyDescent="0.3">
      <c r="A273" s="1">
        <v>45497</v>
      </c>
      <c r="B273" s="7" t="s">
        <v>28</v>
      </c>
      <c r="C273" s="7" t="s">
        <v>17</v>
      </c>
      <c r="D273" s="7" t="s">
        <v>11</v>
      </c>
      <c r="E273" s="7" t="s">
        <v>20</v>
      </c>
      <c r="F273" s="7" t="s">
        <v>21</v>
      </c>
      <c r="G273">
        <v>16</v>
      </c>
      <c r="H273">
        <v>1.93</v>
      </c>
      <c r="I273">
        <v>45.438400000000001</v>
      </c>
      <c r="J273">
        <v>10.9916</v>
      </c>
      <c r="K273">
        <v>45.156399999999998</v>
      </c>
      <c r="L273">
        <v>10.791399999999999</v>
      </c>
      <c r="M273" s="7">
        <f t="shared" si="4"/>
        <v>35.049482425494702</v>
      </c>
      <c r="N273" s="7">
        <f>TBL_VIAGGI[[#This Row],[Km percosi-Linea d''aria]]*1.25</f>
        <v>43.811853031868381</v>
      </c>
      <c r="O273"/>
      <c r="P273"/>
      <c r="R273"/>
    </row>
    <row r="274" spans="1:18" x14ac:dyDescent="0.3">
      <c r="A274" s="1">
        <v>45467</v>
      </c>
      <c r="B274" s="7" t="s">
        <v>28</v>
      </c>
      <c r="C274" s="7" t="s">
        <v>10</v>
      </c>
      <c r="D274" s="7" t="s">
        <v>11</v>
      </c>
      <c r="E274" s="7" t="s">
        <v>12</v>
      </c>
      <c r="F274" s="7" t="s">
        <v>13</v>
      </c>
      <c r="G274">
        <v>20</v>
      </c>
      <c r="H274">
        <v>2.0299999999999998</v>
      </c>
      <c r="I274">
        <v>45.438400000000001</v>
      </c>
      <c r="J274">
        <v>10.9916</v>
      </c>
      <c r="K274">
        <v>45.406399999999998</v>
      </c>
      <c r="L274">
        <v>11.876799999999999</v>
      </c>
      <c r="M274" s="7">
        <f t="shared" si="4"/>
        <v>69.17656464510614</v>
      </c>
      <c r="N274" s="7">
        <f>TBL_VIAGGI[[#This Row],[Km percosi-Linea d''aria]]*1.25</f>
        <v>86.470705806382682</v>
      </c>
      <c r="O274"/>
      <c r="P274"/>
      <c r="R274"/>
    </row>
    <row r="275" spans="1:18" x14ac:dyDescent="0.3">
      <c r="A275" s="1">
        <v>45582</v>
      </c>
      <c r="B275" s="7" t="s">
        <v>14</v>
      </c>
      <c r="C275" s="7" t="s">
        <v>17</v>
      </c>
      <c r="D275" s="7" t="s">
        <v>11</v>
      </c>
      <c r="E275" s="7" t="s">
        <v>16</v>
      </c>
      <c r="F275" s="7" t="s">
        <v>21</v>
      </c>
      <c r="G275">
        <v>16</v>
      </c>
      <c r="H275">
        <v>1.88</v>
      </c>
      <c r="I275">
        <v>45.438400000000001</v>
      </c>
      <c r="J275">
        <v>10.9916</v>
      </c>
      <c r="K275">
        <v>45.545499999999997</v>
      </c>
      <c r="L275">
        <v>11.535399999999999</v>
      </c>
      <c r="M275" s="7">
        <f t="shared" si="4"/>
        <v>44.029532629220121</v>
      </c>
      <c r="N275" s="7">
        <f>TBL_VIAGGI[[#This Row],[Km percosi-Linea d''aria]]*1.25</f>
        <v>55.036915786525149</v>
      </c>
      <c r="O275"/>
      <c r="P275"/>
      <c r="R275"/>
    </row>
    <row r="276" spans="1:18" x14ac:dyDescent="0.3">
      <c r="A276" s="1">
        <v>45416</v>
      </c>
      <c r="B276" s="7" t="s">
        <v>27</v>
      </c>
      <c r="C276" s="7" t="s">
        <v>26</v>
      </c>
      <c r="D276" s="7" t="s">
        <v>11</v>
      </c>
      <c r="E276" s="7" t="s">
        <v>30</v>
      </c>
      <c r="F276" s="7" t="s">
        <v>19</v>
      </c>
      <c r="G276">
        <v>14</v>
      </c>
      <c r="H276">
        <v>1.99</v>
      </c>
      <c r="I276">
        <v>45.438400000000001</v>
      </c>
      <c r="J276">
        <v>10.9916</v>
      </c>
      <c r="K276">
        <v>44.494900000000001</v>
      </c>
      <c r="L276">
        <v>11.342599999999999</v>
      </c>
      <c r="M276" s="7">
        <f t="shared" si="4"/>
        <v>108.4853856935753</v>
      </c>
      <c r="N276" s="7">
        <f>TBL_VIAGGI[[#This Row],[Km percosi-Linea d''aria]]*1.25</f>
        <v>135.60673211696911</v>
      </c>
      <c r="O276"/>
      <c r="P276"/>
      <c r="R276"/>
    </row>
    <row r="277" spans="1:18" x14ac:dyDescent="0.3">
      <c r="A277" s="1">
        <v>45407</v>
      </c>
      <c r="B277" s="7" t="s">
        <v>27</v>
      </c>
      <c r="C277" s="7" t="s">
        <v>17</v>
      </c>
      <c r="D277" s="7" t="s">
        <v>11</v>
      </c>
      <c r="E277" s="7" t="s">
        <v>20</v>
      </c>
      <c r="F277" s="7" t="s">
        <v>13</v>
      </c>
      <c r="G277">
        <v>20</v>
      </c>
      <c r="H277">
        <v>1.87</v>
      </c>
      <c r="I277">
        <v>45.438400000000001</v>
      </c>
      <c r="J277">
        <v>10.9916</v>
      </c>
      <c r="K277">
        <v>45.156399999999998</v>
      </c>
      <c r="L277">
        <v>10.791399999999999</v>
      </c>
      <c r="M277" s="7">
        <f t="shared" si="4"/>
        <v>35.049482425494702</v>
      </c>
      <c r="N277" s="7">
        <f>TBL_VIAGGI[[#This Row],[Km percosi-Linea d''aria]]*1.25</f>
        <v>43.811853031868381</v>
      </c>
      <c r="O277"/>
      <c r="P277"/>
      <c r="R277"/>
    </row>
    <row r="278" spans="1:18" x14ac:dyDescent="0.3">
      <c r="A278" s="1">
        <v>45383</v>
      </c>
      <c r="B278" s="7" t="s">
        <v>27</v>
      </c>
      <c r="C278" s="7" t="s">
        <v>26</v>
      </c>
      <c r="D278" s="7" t="s">
        <v>11</v>
      </c>
      <c r="E278" s="7" t="s">
        <v>16</v>
      </c>
      <c r="F278" s="7" t="s">
        <v>25</v>
      </c>
      <c r="G278">
        <v>18</v>
      </c>
      <c r="H278">
        <v>1.95</v>
      </c>
      <c r="I278">
        <v>45.438400000000001</v>
      </c>
      <c r="J278">
        <v>10.9916</v>
      </c>
      <c r="K278">
        <v>45.545499999999997</v>
      </c>
      <c r="L278">
        <v>11.535399999999999</v>
      </c>
      <c r="M278" s="7">
        <f t="shared" si="4"/>
        <v>44.029532629220121</v>
      </c>
      <c r="N278" s="7">
        <f>TBL_VIAGGI[[#This Row],[Km percosi-Linea d''aria]]*1.25</f>
        <v>55.036915786525149</v>
      </c>
      <c r="O278"/>
      <c r="P278"/>
      <c r="R278"/>
    </row>
    <row r="279" spans="1:18" x14ac:dyDescent="0.3">
      <c r="A279" s="1">
        <v>45408</v>
      </c>
      <c r="B279" s="7" t="s">
        <v>14</v>
      </c>
      <c r="C279" s="7" t="s">
        <v>17</v>
      </c>
      <c r="D279" s="7" t="s">
        <v>11</v>
      </c>
      <c r="E279" s="7" t="s">
        <v>30</v>
      </c>
      <c r="F279" s="7" t="s">
        <v>21</v>
      </c>
      <c r="G279">
        <v>16</v>
      </c>
      <c r="H279">
        <v>2</v>
      </c>
      <c r="I279">
        <v>45.438400000000001</v>
      </c>
      <c r="J279">
        <v>10.9916</v>
      </c>
      <c r="K279">
        <v>44.494900000000001</v>
      </c>
      <c r="L279">
        <v>11.342599999999999</v>
      </c>
      <c r="M279" s="7">
        <f t="shared" si="4"/>
        <v>108.4853856935753</v>
      </c>
      <c r="N279" s="7">
        <f>TBL_VIAGGI[[#This Row],[Km percosi-Linea d''aria]]*1.25</f>
        <v>135.60673211696911</v>
      </c>
      <c r="O279"/>
      <c r="P279"/>
      <c r="R279"/>
    </row>
    <row r="280" spans="1:18" x14ac:dyDescent="0.3">
      <c r="A280" s="1">
        <v>45468</v>
      </c>
      <c r="B280" s="7" t="s">
        <v>28</v>
      </c>
      <c r="C280" s="7" t="s">
        <v>15</v>
      </c>
      <c r="D280" s="7" t="s">
        <v>11</v>
      </c>
      <c r="E280" s="7" t="s">
        <v>30</v>
      </c>
      <c r="F280" s="7" t="s">
        <v>21</v>
      </c>
      <c r="G280">
        <v>16</v>
      </c>
      <c r="H280">
        <v>2.0299999999999998</v>
      </c>
      <c r="I280">
        <v>45.438400000000001</v>
      </c>
      <c r="J280">
        <v>10.9916</v>
      </c>
      <c r="K280">
        <v>44.494900000000001</v>
      </c>
      <c r="L280">
        <v>11.342599999999999</v>
      </c>
      <c r="M280" s="7">
        <f t="shared" si="4"/>
        <v>108.4853856935753</v>
      </c>
      <c r="N280" s="7">
        <f>TBL_VIAGGI[[#This Row],[Km percosi-Linea d''aria]]*1.25</f>
        <v>135.60673211696911</v>
      </c>
      <c r="O280"/>
      <c r="P280"/>
      <c r="R280"/>
    </row>
    <row r="281" spans="1:18" x14ac:dyDescent="0.3">
      <c r="A281" s="1">
        <v>45584</v>
      </c>
      <c r="B281" s="7" t="s">
        <v>22</v>
      </c>
      <c r="C281" s="7" t="s">
        <v>31</v>
      </c>
      <c r="D281" s="7" t="s">
        <v>11</v>
      </c>
      <c r="E281" s="7" t="s">
        <v>12</v>
      </c>
      <c r="F281" s="7" t="s">
        <v>19</v>
      </c>
      <c r="G281">
        <v>14</v>
      </c>
      <c r="H281">
        <v>1.85</v>
      </c>
      <c r="I281">
        <v>45.438400000000001</v>
      </c>
      <c r="J281">
        <v>10.9916</v>
      </c>
      <c r="K281">
        <v>45.406399999999998</v>
      </c>
      <c r="L281">
        <v>11.876799999999999</v>
      </c>
      <c r="M281" s="7">
        <f t="shared" si="4"/>
        <v>69.17656464510614</v>
      </c>
      <c r="N281" s="7">
        <f>TBL_VIAGGI[[#This Row],[Km percosi-Linea d''aria]]*1.25</f>
        <v>86.470705806382682</v>
      </c>
      <c r="O281"/>
      <c r="P281"/>
      <c r="R281"/>
    </row>
    <row r="282" spans="1:18" x14ac:dyDescent="0.3">
      <c r="A282" s="1">
        <v>45476</v>
      </c>
      <c r="B282" s="7" t="s">
        <v>22</v>
      </c>
      <c r="C282" s="7" t="s">
        <v>17</v>
      </c>
      <c r="D282" s="7" t="s">
        <v>11</v>
      </c>
      <c r="E282" s="7" t="s">
        <v>29</v>
      </c>
      <c r="F282" s="7" t="s">
        <v>19</v>
      </c>
      <c r="G282">
        <v>14</v>
      </c>
      <c r="H282">
        <v>1.99</v>
      </c>
      <c r="I282">
        <v>45.438400000000001</v>
      </c>
      <c r="J282">
        <v>10.9916</v>
      </c>
      <c r="K282">
        <v>45.464199999999998</v>
      </c>
      <c r="L282">
        <v>9.19</v>
      </c>
      <c r="M282" s="7">
        <f t="shared" si="4"/>
        <v>140.56002944653866</v>
      </c>
      <c r="N282" s="7">
        <f>TBL_VIAGGI[[#This Row],[Km percosi-Linea d''aria]]*1.25</f>
        <v>175.70003680817334</v>
      </c>
      <c r="O282"/>
      <c r="P282"/>
      <c r="R282"/>
    </row>
    <row r="283" spans="1:18" x14ac:dyDescent="0.3">
      <c r="A283" s="1">
        <v>45514</v>
      </c>
      <c r="B283" s="7" t="s">
        <v>9</v>
      </c>
      <c r="C283" s="7" t="s">
        <v>31</v>
      </c>
      <c r="D283" s="7" t="s">
        <v>11</v>
      </c>
      <c r="E283" s="7" t="s">
        <v>18</v>
      </c>
      <c r="F283" s="7" t="s">
        <v>25</v>
      </c>
      <c r="G283">
        <v>18</v>
      </c>
      <c r="H283">
        <v>1.85</v>
      </c>
      <c r="I283">
        <v>45.438400000000001</v>
      </c>
      <c r="J283">
        <v>10.9916</v>
      </c>
      <c r="K283">
        <v>45.541600000000003</v>
      </c>
      <c r="L283">
        <v>10.2118</v>
      </c>
      <c r="M283" s="7">
        <f t="shared" si="4"/>
        <v>61.859907199936103</v>
      </c>
      <c r="N283" s="7">
        <f>TBL_VIAGGI[[#This Row],[Km percosi-Linea d''aria]]*1.25</f>
        <v>77.324883999920132</v>
      </c>
      <c r="O283"/>
      <c r="P283"/>
      <c r="R283"/>
    </row>
    <row r="284" spans="1:18" x14ac:dyDescent="0.3">
      <c r="A284" s="1">
        <v>45578</v>
      </c>
      <c r="B284" s="7" t="s">
        <v>9</v>
      </c>
      <c r="C284" s="7" t="s">
        <v>15</v>
      </c>
      <c r="D284" s="7" t="s">
        <v>11</v>
      </c>
      <c r="E284" s="7" t="s">
        <v>16</v>
      </c>
      <c r="F284" s="7" t="s">
        <v>21</v>
      </c>
      <c r="G284">
        <v>16</v>
      </c>
      <c r="H284">
        <v>2.02</v>
      </c>
      <c r="I284">
        <v>45.438400000000001</v>
      </c>
      <c r="J284">
        <v>10.9916</v>
      </c>
      <c r="K284">
        <v>45.545499999999997</v>
      </c>
      <c r="L284">
        <v>11.535399999999999</v>
      </c>
      <c r="M284" s="7">
        <f t="shared" si="4"/>
        <v>44.029532629220121</v>
      </c>
      <c r="N284" s="7">
        <f>TBL_VIAGGI[[#This Row],[Km percosi-Linea d''aria]]*1.25</f>
        <v>55.036915786525149</v>
      </c>
      <c r="O284"/>
      <c r="P284"/>
      <c r="R284"/>
    </row>
    <row r="285" spans="1:18" x14ac:dyDescent="0.3">
      <c r="A285" s="1">
        <v>45583</v>
      </c>
      <c r="B285" s="7" t="s">
        <v>28</v>
      </c>
      <c r="C285" s="7" t="s">
        <v>10</v>
      </c>
      <c r="D285" s="7" t="s">
        <v>11</v>
      </c>
      <c r="E285" s="7" t="s">
        <v>29</v>
      </c>
      <c r="F285" s="7" t="s">
        <v>25</v>
      </c>
      <c r="G285">
        <v>18</v>
      </c>
      <c r="H285">
        <v>1.77</v>
      </c>
      <c r="I285">
        <v>45.438400000000001</v>
      </c>
      <c r="J285">
        <v>10.9916</v>
      </c>
      <c r="K285">
        <v>45.464199999999998</v>
      </c>
      <c r="L285">
        <v>9.19</v>
      </c>
      <c r="M285" s="7">
        <f t="shared" si="4"/>
        <v>140.56002944653866</v>
      </c>
      <c r="N285" s="7">
        <f>TBL_VIAGGI[[#This Row],[Km percosi-Linea d''aria]]*1.25</f>
        <v>175.70003680817334</v>
      </c>
      <c r="O285"/>
      <c r="P285"/>
      <c r="R285"/>
    </row>
    <row r="286" spans="1:18" x14ac:dyDescent="0.3">
      <c r="A286" s="1">
        <v>45596</v>
      </c>
      <c r="B286" s="7" t="s">
        <v>27</v>
      </c>
      <c r="C286" s="7" t="s">
        <v>10</v>
      </c>
      <c r="D286" s="7" t="s">
        <v>11</v>
      </c>
      <c r="E286" s="7" t="s">
        <v>23</v>
      </c>
      <c r="F286" s="7" t="s">
        <v>25</v>
      </c>
      <c r="G286">
        <v>18</v>
      </c>
      <c r="H286">
        <v>2</v>
      </c>
      <c r="I286">
        <v>45.438400000000001</v>
      </c>
      <c r="J286">
        <v>10.9916</v>
      </c>
      <c r="K286">
        <v>46.074800000000003</v>
      </c>
      <c r="L286">
        <v>11.121700000000001</v>
      </c>
      <c r="M286" s="7">
        <f t="shared" si="4"/>
        <v>71.480621044461714</v>
      </c>
      <c r="N286" s="7">
        <f>TBL_VIAGGI[[#This Row],[Km percosi-Linea d''aria]]*1.25</f>
        <v>89.350776305577142</v>
      </c>
      <c r="O286"/>
      <c r="P286"/>
      <c r="R286"/>
    </row>
    <row r="287" spans="1:18" x14ac:dyDescent="0.3">
      <c r="A287" s="1">
        <v>45410</v>
      </c>
      <c r="B287" s="7" t="s">
        <v>14</v>
      </c>
      <c r="C287" s="7" t="s">
        <v>17</v>
      </c>
      <c r="D287" s="7" t="s">
        <v>11</v>
      </c>
      <c r="E287" s="7" t="s">
        <v>29</v>
      </c>
      <c r="F287" s="7" t="s">
        <v>21</v>
      </c>
      <c r="G287">
        <v>16</v>
      </c>
      <c r="H287">
        <v>2.0699999999999998</v>
      </c>
      <c r="I287">
        <v>45.438400000000001</v>
      </c>
      <c r="J287">
        <v>10.9916</v>
      </c>
      <c r="K287">
        <v>45.464199999999998</v>
      </c>
      <c r="L287">
        <v>9.19</v>
      </c>
      <c r="M287" s="7">
        <f t="shared" si="4"/>
        <v>140.56002944653866</v>
      </c>
      <c r="N287" s="7">
        <f>TBL_VIAGGI[[#This Row],[Km percosi-Linea d''aria]]*1.25</f>
        <v>175.70003680817334</v>
      </c>
      <c r="O287"/>
      <c r="P287"/>
      <c r="R287"/>
    </row>
    <row r="288" spans="1:18" x14ac:dyDescent="0.3">
      <c r="A288" s="1">
        <v>45455</v>
      </c>
      <c r="B288" s="7" t="s">
        <v>9</v>
      </c>
      <c r="C288" s="7" t="s">
        <v>26</v>
      </c>
      <c r="D288" s="7" t="s">
        <v>11</v>
      </c>
      <c r="E288" s="7" t="s">
        <v>30</v>
      </c>
      <c r="F288" s="7" t="s">
        <v>19</v>
      </c>
      <c r="G288">
        <v>14</v>
      </c>
      <c r="H288">
        <v>1.97</v>
      </c>
      <c r="I288">
        <v>45.438400000000001</v>
      </c>
      <c r="J288">
        <v>10.9916</v>
      </c>
      <c r="K288">
        <v>44.494900000000001</v>
      </c>
      <c r="L288">
        <v>11.342599999999999</v>
      </c>
      <c r="M288" s="7">
        <f t="shared" si="4"/>
        <v>108.4853856935753</v>
      </c>
      <c r="N288" s="7">
        <f>TBL_VIAGGI[[#This Row],[Km percosi-Linea d''aria]]*1.25</f>
        <v>135.60673211696911</v>
      </c>
      <c r="O288"/>
      <c r="P288"/>
      <c r="R288"/>
    </row>
    <row r="289" spans="1:18" x14ac:dyDescent="0.3">
      <c r="A289" s="1">
        <v>45358</v>
      </c>
      <c r="B289" s="7" t="s">
        <v>9</v>
      </c>
      <c r="C289" s="7" t="s">
        <v>17</v>
      </c>
      <c r="D289" s="7" t="s">
        <v>11</v>
      </c>
      <c r="E289" s="7" t="s">
        <v>18</v>
      </c>
      <c r="F289" s="7" t="s">
        <v>19</v>
      </c>
      <c r="G289">
        <v>14</v>
      </c>
      <c r="H289">
        <v>1.8</v>
      </c>
      <c r="I289">
        <v>45.438400000000001</v>
      </c>
      <c r="J289">
        <v>10.9916</v>
      </c>
      <c r="K289">
        <v>45.541600000000003</v>
      </c>
      <c r="L289">
        <v>10.2118</v>
      </c>
      <c r="M289" s="7">
        <f t="shared" si="4"/>
        <v>61.859907199936103</v>
      </c>
      <c r="N289" s="7">
        <f>TBL_VIAGGI[[#This Row],[Km percosi-Linea d''aria]]*1.25</f>
        <v>77.324883999920132</v>
      </c>
      <c r="O289"/>
      <c r="P289"/>
      <c r="R289"/>
    </row>
    <row r="290" spans="1:18" x14ac:dyDescent="0.3">
      <c r="A290" s="1">
        <v>45500</v>
      </c>
      <c r="B290" s="7" t="s">
        <v>9</v>
      </c>
      <c r="C290" s="7" t="s">
        <v>15</v>
      </c>
      <c r="D290" s="7" t="s">
        <v>11</v>
      </c>
      <c r="E290" s="7" t="s">
        <v>23</v>
      </c>
      <c r="F290" s="7" t="s">
        <v>19</v>
      </c>
      <c r="G290">
        <v>14</v>
      </c>
      <c r="H290">
        <v>1.91</v>
      </c>
      <c r="I290">
        <v>45.438400000000001</v>
      </c>
      <c r="J290">
        <v>10.9916</v>
      </c>
      <c r="K290">
        <v>46.074800000000003</v>
      </c>
      <c r="L290">
        <v>11.121700000000001</v>
      </c>
      <c r="M290" s="7">
        <f t="shared" si="4"/>
        <v>71.480621044461714</v>
      </c>
      <c r="N290" s="7">
        <f>TBL_VIAGGI[[#This Row],[Km percosi-Linea d''aria]]*1.25</f>
        <v>89.350776305577142</v>
      </c>
      <c r="O290"/>
      <c r="P290"/>
      <c r="R290"/>
    </row>
    <row r="291" spans="1:18" x14ac:dyDescent="0.3">
      <c r="A291" s="1">
        <v>45429</v>
      </c>
      <c r="B291" s="7" t="s">
        <v>27</v>
      </c>
      <c r="C291" s="7" t="s">
        <v>31</v>
      </c>
      <c r="D291" s="7" t="s">
        <v>11</v>
      </c>
      <c r="E291" s="7" t="s">
        <v>23</v>
      </c>
      <c r="F291" s="7" t="s">
        <v>25</v>
      </c>
      <c r="G291">
        <v>18</v>
      </c>
      <c r="H291">
        <v>1.94</v>
      </c>
      <c r="I291">
        <v>45.438400000000001</v>
      </c>
      <c r="J291">
        <v>10.9916</v>
      </c>
      <c r="K291">
        <v>46.074800000000003</v>
      </c>
      <c r="L291">
        <v>11.121700000000001</v>
      </c>
      <c r="M291" s="7">
        <f t="shared" si="4"/>
        <v>71.480621044461714</v>
      </c>
      <c r="N291" s="7">
        <f>TBL_VIAGGI[[#This Row],[Km percosi-Linea d''aria]]*1.25</f>
        <v>89.350776305577142</v>
      </c>
      <c r="O291"/>
      <c r="P291"/>
      <c r="R291"/>
    </row>
    <row r="292" spans="1:18" x14ac:dyDescent="0.3">
      <c r="A292" s="1">
        <v>45397</v>
      </c>
      <c r="B292" s="7" t="s">
        <v>28</v>
      </c>
      <c r="C292" s="7" t="s">
        <v>17</v>
      </c>
      <c r="D292" s="7" t="s">
        <v>11</v>
      </c>
      <c r="E292" s="7" t="s">
        <v>20</v>
      </c>
      <c r="F292" s="7" t="s">
        <v>21</v>
      </c>
      <c r="G292">
        <v>16</v>
      </c>
      <c r="H292">
        <v>1.76</v>
      </c>
      <c r="I292">
        <v>45.438400000000001</v>
      </c>
      <c r="J292">
        <v>10.9916</v>
      </c>
      <c r="K292">
        <v>45.156399999999998</v>
      </c>
      <c r="L292">
        <v>10.791399999999999</v>
      </c>
      <c r="M292" s="7">
        <f t="shared" si="4"/>
        <v>35.049482425494702</v>
      </c>
      <c r="N292" s="7">
        <f>TBL_VIAGGI[[#This Row],[Km percosi-Linea d''aria]]*1.25</f>
        <v>43.811853031868381</v>
      </c>
      <c r="O292"/>
      <c r="P292"/>
      <c r="R292"/>
    </row>
    <row r="293" spans="1:18" x14ac:dyDescent="0.3">
      <c r="A293" s="1">
        <v>45497</v>
      </c>
      <c r="B293" s="7" t="s">
        <v>27</v>
      </c>
      <c r="C293" s="7" t="s">
        <v>24</v>
      </c>
      <c r="D293" s="7" t="s">
        <v>11</v>
      </c>
      <c r="E293" s="7" t="s">
        <v>18</v>
      </c>
      <c r="F293" s="7" t="s">
        <v>21</v>
      </c>
      <c r="G293">
        <v>16</v>
      </c>
      <c r="H293">
        <v>2</v>
      </c>
      <c r="I293">
        <v>45.438400000000001</v>
      </c>
      <c r="J293">
        <v>10.9916</v>
      </c>
      <c r="K293">
        <v>45.541600000000003</v>
      </c>
      <c r="L293">
        <v>10.2118</v>
      </c>
      <c r="M293" s="7">
        <f t="shared" si="4"/>
        <v>61.859907199936103</v>
      </c>
      <c r="N293" s="7">
        <f>TBL_VIAGGI[[#This Row],[Km percosi-Linea d''aria]]*1.25</f>
        <v>77.324883999920132</v>
      </c>
      <c r="O293"/>
      <c r="P293"/>
      <c r="R293"/>
    </row>
    <row r="294" spans="1:18" x14ac:dyDescent="0.3">
      <c r="A294" s="1">
        <v>45444</v>
      </c>
      <c r="B294" s="7" t="s">
        <v>14</v>
      </c>
      <c r="C294" s="7" t="s">
        <v>24</v>
      </c>
      <c r="D294" s="7" t="s">
        <v>11</v>
      </c>
      <c r="E294" s="7" t="s">
        <v>16</v>
      </c>
      <c r="F294" s="7" t="s">
        <v>25</v>
      </c>
      <c r="G294">
        <v>18</v>
      </c>
      <c r="H294">
        <v>2.08</v>
      </c>
      <c r="I294">
        <v>45.438400000000001</v>
      </c>
      <c r="J294">
        <v>10.9916</v>
      </c>
      <c r="K294">
        <v>45.545499999999997</v>
      </c>
      <c r="L294">
        <v>11.535399999999999</v>
      </c>
      <c r="M294" s="7">
        <f t="shared" si="4"/>
        <v>44.029532629220121</v>
      </c>
      <c r="N294" s="7">
        <f>TBL_VIAGGI[[#This Row],[Km percosi-Linea d''aria]]*1.25</f>
        <v>55.036915786525149</v>
      </c>
      <c r="O294"/>
      <c r="P294"/>
      <c r="R294"/>
    </row>
    <row r="295" spans="1:18" x14ac:dyDescent="0.3">
      <c r="A295" s="1">
        <v>45376</v>
      </c>
      <c r="B295" s="7" t="s">
        <v>27</v>
      </c>
      <c r="C295" s="7" t="s">
        <v>10</v>
      </c>
      <c r="D295" s="7" t="s">
        <v>11</v>
      </c>
      <c r="E295" s="7" t="s">
        <v>23</v>
      </c>
      <c r="F295" s="7" t="s">
        <v>19</v>
      </c>
      <c r="G295">
        <v>14</v>
      </c>
      <c r="H295">
        <v>1.91</v>
      </c>
      <c r="I295">
        <v>45.438400000000001</v>
      </c>
      <c r="J295">
        <v>10.9916</v>
      </c>
      <c r="K295">
        <v>46.074800000000003</v>
      </c>
      <c r="L295">
        <v>11.121700000000001</v>
      </c>
      <c r="M295" s="7">
        <f t="shared" si="4"/>
        <v>71.480621044461714</v>
      </c>
      <c r="N295" s="7">
        <f>TBL_VIAGGI[[#This Row],[Km percosi-Linea d''aria]]*1.25</f>
        <v>89.350776305577142</v>
      </c>
      <c r="O295"/>
      <c r="P295"/>
      <c r="R295"/>
    </row>
    <row r="296" spans="1:18" x14ac:dyDescent="0.3">
      <c r="A296" s="1">
        <v>45437</v>
      </c>
      <c r="B296" s="7" t="s">
        <v>9</v>
      </c>
      <c r="C296" s="7" t="s">
        <v>26</v>
      </c>
      <c r="D296" s="7" t="s">
        <v>11</v>
      </c>
      <c r="E296" s="7" t="s">
        <v>30</v>
      </c>
      <c r="F296" s="7" t="s">
        <v>19</v>
      </c>
      <c r="G296">
        <v>14</v>
      </c>
      <c r="H296">
        <v>2.0499999999999998</v>
      </c>
      <c r="I296">
        <v>45.438400000000001</v>
      </c>
      <c r="J296">
        <v>10.9916</v>
      </c>
      <c r="K296">
        <v>44.494900000000001</v>
      </c>
      <c r="L296">
        <v>11.342599999999999</v>
      </c>
      <c r="M296" s="7">
        <f t="shared" si="4"/>
        <v>108.4853856935753</v>
      </c>
      <c r="N296" s="7">
        <f>TBL_VIAGGI[[#This Row],[Km percosi-Linea d''aria]]*1.25</f>
        <v>135.60673211696911</v>
      </c>
      <c r="O296"/>
      <c r="P296"/>
      <c r="R296"/>
    </row>
    <row r="297" spans="1:18" x14ac:dyDescent="0.3">
      <c r="A297" s="1">
        <v>45598</v>
      </c>
      <c r="B297" s="7" t="s">
        <v>14</v>
      </c>
      <c r="C297" s="7" t="s">
        <v>17</v>
      </c>
      <c r="D297" s="7" t="s">
        <v>11</v>
      </c>
      <c r="E297" s="7" t="s">
        <v>23</v>
      </c>
      <c r="F297" s="7" t="s">
        <v>25</v>
      </c>
      <c r="G297">
        <v>18</v>
      </c>
      <c r="H297">
        <v>1.78</v>
      </c>
      <c r="I297">
        <v>45.438400000000001</v>
      </c>
      <c r="J297">
        <v>10.9916</v>
      </c>
      <c r="K297">
        <v>46.074800000000003</v>
      </c>
      <c r="L297">
        <v>11.121700000000001</v>
      </c>
      <c r="M297" s="7">
        <f t="shared" si="4"/>
        <v>71.480621044461714</v>
      </c>
      <c r="N297" s="7">
        <f>TBL_VIAGGI[[#This Row],[Km percosi-Linea d''aria]]*1.25</f>
        <v>89.350776305577142</v>
      </c>
      <c r="O297"/>
      <c r="P297"/>
      <c r="R297"/>
    </row>
    <row r="298" spans="1:18" x14ac:dyDescent="0.3">
      <c r="A298" s="1">
        <v>45460</v>
      </c>
      <c r="B298" s="7" t="s">
        <v>27</v>
      </c>
      <c r="C298" s="7" t="s">
        <v>31</v>
      </c>
      <c r="D298" s="7" t="s">
        <v>11</v>
      </c>
      <c r="E298" s="7" t="s">
        <v>16</v>
      </c>
      <c r="F298" s="7" t="s">
        <v>13</v>
      </c>
      <c r="G298">
        <v>20</v>
      </c>
      <c r="H298">
        <v>1.77</v>
      </c>
      <c r="I298">
        <v>45.438400000000001</v>
      </c>
      <c r="J298">
        <v>10.9916</v>
      </c>
      <c r="K298">
        <v>45.545499999999997</v>
      </c>
      <c r="L298">
        <v>11.535399999999999</v>
      </c>
      <c r="M298" s="7">
        <f t="shared" si="4"/>
        <v>44.029532629220121</v>
      </c>
      <c r="N298" s="7">
        <f>TBL_VIAGGI[[#This Row],[Km percosi-Linea d''aria]]*1.25</f>
        <v>55.036915786525149</v>
      </c>
      <c r="O298"/>
      <c r="P298"/>
      <c r="R298"/>
    </row>
    <row r="299" spans="1:18" x14ac:dyDescent="0.3">
      <c r="A299" s="1">
        <v>45474</v>
      </c>
      <c r="B299" s="7" t="s">
        <v>9</v>
      </c>
      <c r="C299" s="7" t="s">
        <v>24</v>
      </c>
      <c r="D299" s="7" t="s">
        <v>11</v>
      </c>
      <c r="E299" s="7" t="s">
        <v>23</v>
      </c>
      <c r="F299" s="7" t="s">
        <v>25</v>
      </c>
      <c r="G299">
        <v>18</v>
      </c>
      <c r="H299">
        <v>1.9</v>
      </c>
      <c r="I299">
        <v>45.438400000000001</v>
      </c>
      <c r="J299">
        <v>10.9916</v>
      </c>
      <c r="K299">
        <v>46.074800000000003</v>
      </c>
      <c r="L299">
        <v>11.121700000000001</v>
      </c>
      <c r="M299" s="7">
        <f t="shared" si="4"/>
        <v>71.480621044461714</v>
      </c>
      <c r="N299" s="7">
        <f>TBL_VIAGGI[[#This Row],[Km percosi-Linea d''aria]]*1.25</f>
        <v>89.350776305577142</v>
      </c>
      <c r="O299"/>
      <c r="P299"/>
      <c r="R299"/>
    </row>
    <row r="300" spans="1:18" x14ac:dyDescent="0.3">
      <c r="A300" s="1">
        <v>45467</v>
      </c>
      <c r="B300" s="7" t="s">
        <v>22</v>
      </c>
      <c r="C300" s="7" t="s">
        <v>10</v>
      </c>
      <c r="D300" s="7" t="s">
        <v>11</v>
      </c>
      <c r="E300" s="7" t="s">
        <v>20</v>
      </c>
      <c r="F300" s="7" t="s">
        <v>21</v>
      </c>
      <c r="G300">
        <v>16</v>
      </c>
      <c r="H300">
        <v>2.0499999999999998</v>
      </c>
      <c r="I300">
        <v>45.438400000000001</v>
      </c>
      <c r="J300">
        <v>10.9916</v>
      </c>
      <c r="K300">
        <v>45.156399999999998</v>
      </c>
      <c r="L300">
        <v>10.791399999999999</v>
      </c>
      <c r="M300" s="7">
        <f t="shared" si="4"/>
        <v>35.049482425494702</v>
      </c>
      <c r="N300" s="7">
        <f>TBL_VIAGGI[[#This Row],[Km percosi-Linea d''aria]]*1.25</f>
        <v>43.811853031868381</v>
      </c>
      <c r="O300"/>
      <c r="P300"/>
      <c r="R300"/>
    </row>
    <row r="301" spans="1:18" x14ac:dyDescent="0.3">
      <c r="A301" s="1">
        <v>45372</v>
      </c>
      <c r="B301" s="7" t="s">
        <v>28</v>
      </c>
      <c r="C301" s="7" t="s">
        <v>31</v>
      </c>
      <c r="D301" s="7" t="s">
        <v>11</v>
      </c>
      <c r="E301" s="7" t="s">
        <v>29</v>
      </c>
      <c r="F301" s="7" t="s">
        <v>19</v>
      </c>
      <c r="G301">
        <v>14</v>
      </c>
      <c r="H301">
        <v>1.78</v>
      </c>
      <c r="I301">
        <v>45.438400000000001</v>
      </c>
      <c r="J301">
        <v>10.9916</v>
      </c>
      <c r="K301">
        <v>45.464199999999998</v>
      </c>
      <c r="L301">
        <v>9.19</v>
      </c>
      <c r="M301" s="7">
        <f t="shared" si="4"/>
        <v>140.56002944653866</v>
      </c>
      <c r="N301" s="7">
        <f>TBL_VIAGGI[[#This Row],[Km percosi-Linea d''aria]]*1.25</f>
        <v>175.70003680817334</v>
      </c>
      <c r="O301"/>
      <c r="P301"/>
      <c r="R30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53F7-E30B-4224-9DBE-7EE6BC7CE764}">
  <dimension ref="A1:I301"/>
  <sheetViews>
    <sheetView topLeftCell="A286" workbookViewId="0">
      <selection activeCell="A302" sqref="A302:XFD302"/>
    </sheetView>
  </sheetViews>
  <sheetFormatPr defaultRowHeight="14.4" x14ac:dyDescent="0.3"/>
  <cols>
    <col min="1" max="1" width="10.33203125" bestFit="1" customWidth="1"/>
    <col min="2" max="2" width="17.6640625" customWidth="1"/>
    <col min="3" max="3" width="14.77734375" bestFit="1" customWidth="1"/>
    <col min="4" max="4" width="11.21875" customWidth="1"/>
    <col min="5" max="5" width="12.44140625" customWidth="1"/>
    <col min="6" max="6" width="14.33203125" bestFit="1" customWidth="1"/>
    <col min="7" max="7" width="14.77734375" customWidth="1"/>
    <col min="8" max="8" width="12.21875" style="2" customWidth="1"/>
    <col min="9" max="9" width="12.44140625" style="2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 x14ac:dyDescent="0.3">
      <c r="A2" s="1">
        <v>45296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</v>
      </c>
      <c r="H2" s="2">
        <v>1.99</v>
      </c>
      <c r="I2" s="2">
        <v>9.75</v>
      </c>
    </row>
    <row r="3" spans="1:9" x14ac:dyDescent="0.3">
      <c r="A3" s="1">
        <v>45308</v>
      </c>
      <c r="B3" t="s">
        <v>14</v>
      </c>
      <c r="C3" t="s">
        <v>15</v>
      </c>
      <c r="D3" t="s">
        <v>11</v>
      </c>
      <c r="E3" t="s">
        <v>16</v>
      </c>
      <c r="F3" t="s">
        <v>13</v>
      </c>
      <c r="G3">
        <v>20</v>
      </c>
      <c r="H3" s="2">
        <v>1.89</v>
      </c>
      <c r="I3" s="2">
        <v>4.72</v>
      </c>
    </row>
    <row r="4" spans="1:9" x14ac:dyDescent="0.3">
      <c r="A4" s="1">
        <v>45339</v>
      </c>
      <c r="B4" t="s">
        <v>14</v>
      </c>
      <c r="C4" t="s">
        <v>17</v>
      </c>
      <c r="D4" t="s">
        <v>11</v>
      </c>
      <c r="E4" t="s">
        <v>18</v>
      </c>
      <c r="F4" t="s">
        <v>19</v>
      </c>
      <c r="G4">
        <v>14</v>
      </c>
      <c r="H4" s="2">
        <v>1.76</v>
      </c>
      <c r="I4" s="2">
        <v>9.93</v>
      </c>
    </row>
    <row r="5" spans="1:9" x14ac:dyDescent="0.3">
      <c r="A5" s="1">
        <v>45543</v>
      </c>
      <c r="B5" t="s">
        <v>9</v>
      </c>
      <c r="C5" t="s">
        <v>15</v>
      </c>
      <c r="D5" t="s">
        <v>11</v>
      </c>
      <c r="E5" t="s">
        <v>20</v>
      </c>
      <c r="F5" t="s">
        <v>21</v>
      </c>
      <c r="G5">
        <v>16</v>
      </c>
      <c r="H5" s="2">
        <v>2.0099999999999998</v>
      </c>
      <c r="I5" s="2">
        <v>6.16</v>
      </c>
    </row>
    <row r="6" spans="1:9" x14ac:dyDescent="0.3">
      <c r="A6" s="1">
        <v>45309</v>
      </c>
      <c r="B6" t="s">
        <v>22</v>
      </c>
      <c r="C6" t="s">
        <v>17</v>
      </c>
      <c r="D6" t="s">
        <v>11</v>
      </c>
      <c r="E6" t="s">
        <v>23</v>
      </c>
      <c r="F6" t="s">
        <v>13</v>
      </c>
      <c r="G6">
        <v>20</v>
      </c>
      <c r="H6" s="2">
        <v>1.91</v>
      </c>
      <c r="I6" s="2">
        <v>9.36</v>
      </c>
    </row>
    <row r="7" spans="1:9" x14ac:dyDescent="0.3">
      <c r="A7" s="1">
        <v>45531</v>
      </c>
      <c r="B7" t="s">
        <v>22</v>
      </c>
      <c r="C7" t="s">
        <v>10</v>
      </c>
      <c r="D7" t="s">
        <v>11</v>
      </c>
      <c r="E7" t="s">
        <v>20</v>
      </c>
      <c r="F7" t="s">
        <v>19</v>
      </c>
      <c r="G7">
        <v>14</v>
      </c>
      <c r="H7" s="2">
        <v>2.02</v>
      </c>
      <c r="I7" s="2">
        <v>5.05</v>
      </c>
    </row>
    <row r="8" spans="1:9" x14ac:dyDescent="0.3">
      <c r="A8" s="1">
        <v>45453</v>
      </c>
      <c r="B8" t="s">
        <v>14</v>
      </c>
      <c r="C8" t="s">
        <v>24</v>
      </c>
      <c r="D8" t="s">
        <v>11</v>
      </c>
      <c r="E8" t="s">
        <v>12</v>
      </c>
      <c r="F8" t="s">
        <v>25</v>
      </c>
      <c r="G8">
        <v>18</v>
      </c>
      <c r="H8" s="2">
        <v>1.9</v>
      </c>
      <c r="I8" s="2">
        <v>10.029999999999999</v>
      </c>
    </row>
    <row r="9" spans="1:9" x14ac:dyDescent="0.3">
      <c r="A9" s="1">
        <v>45536</v>
      </c>
      <c r="B9" t="s">
        <v>14</v>
      </c>
      <c r="C9" t="s">
        <v>10</v>
      </c>
      <c r="D9" t="s">
        <v>11</v>
      </c>
      <c r="E9" t="s">
        <v>12</v>
      </c>
      <c r="F9" t="s">
        <v>19</v>
      </c>
      <c r="G9">
        <v>14</v>
      </c>
      <c r="H9" s="2">
        <v>2.0699999999999998</v>
      </c>
      <c r="I9" s="2">
        <v>14.19</v>
      </c>
    </row>
    <row r="10" spans="1:9" x14ac:dyDescent="0.3">
      <c r="A10" s="1">
        <v>45537</v>
      </c>
      <c r="B10" t="s">
        <v>14</v>
      </c>
      <c r="C10" t="s">
        <v>26</v>
      </c>
      <c r="D10" t="s">
        <v>11</v>
      </c>
      <c r="E10" t="s">
        <v>12</v>
      </c>
      <c r="F10" t="s">
        <v>25</v>
      </c>
      <c r="G10">
        <v>18</v>
      </c>
      <c r="H10" s="2">
        <v>1.88</v>
      </c>
      <c r="I10" s="2">
        <v>9.4</v>
      </c>
    </row>
    <row r="11" spans="1:9" x14ac:dyDescent="0.3">
      <c r="A11" s="1">
        <v>45534</v>
      </c>
      <c r="B11" t="s">
        <v>14</v>
      </c>
      <c r="C11" t="s">
        <v>24</v>
      </c>
      <c r="D11" t="s">
        <v>11</v>
      </c>
      <c r="E11" t="s">
        <v>12</v>
      </c>
      <c r="F11" t="s">
        <v>21</v>
      </c>
      <c r="G11">
        <v>16</v>
      </c>
      <c r="H11" s="2">
        <v>1.78</v>
      </c>
      <c r="I11" s="2">
        <v>9.68</v>
      </c>
    </row>
    <row r="12" spans="1:9" x14ac:dyDescent="0.3">
      <c r="A12" s="1">
        <v>45400</v>
      </c>
      <c r="B12" t="s">
        <v>14</v>
      </c>
      <c r="C12" t="s">
        <v>17</v>
      </c>
      <c r="D12" t="s">
        <v>11</v>
      </c>
      <c r="E12" t="s">
        <v>16</v>
      </c>
      <c r="F12" t="s">
        <v>13</v>
      </c>
      <c r="G12">
        <v>20</v>
      </c>
      <c r="H12" s="2">
        <v>2.1</v>
      </c>
      <c r="I12" s="2">
        <v>4.51</v>
      </c>
    </row>
    <row r="13" spans="1:9" x14ac:dyDescent="0.3">
      <c r="A13" s="1">
        <v>45550</v>
      </c>
      <c r="B13" t="s">
        <v>27</v>
      </c>
      <c r="C13" t="s">
        <v>26</v>
      </c>
      <c r="D13" t="s">
        <v>11</v>
      </c>
      <c r="E13" t="s">
        <v>23</v>
      </c>
      <c r="F13" t="s">
        <v>19</v>
      </c>
      <c r="G13">
        <v>14</v>
      </c>
      <c r="H13" s="2">
        <v>1.9</v>
      </c>
      <c r="I13" s="2">
        <v>14.25</v>
      </c>
    </row>
    <row r="14" spans="1:9" x14ac:dyDescent="0.3">
      <c r="A14" s="1">
        <v>45507</v>
      </c>
      <c r="B14" t="s">
        <v>27</v>
      </c>
      <c r="C14" t="s">
        <v>15</v>
      </c>
      <c r="D14" t="s">
        <v>11</v>
      </c>
      <c r="E14" t="s">
        <v>12</v>
      </c>
      <c r="F14" t="s">
        <v>13</v>
      </c>
      <c r="G14">
        <v>20</v>
      </c>
      <c r="H14" s="2">
        <v>1.89</v>
      </c>
      <c r="I14" s="2">
        <v>9.07</v>
      </c>
    </row>
    <row r="15" spans="1:9" x14ac:dyDescent="0.3">
      <c r="A15" s="1">
        <v>45549</v>
      </c>
      <c r="B15" t="s">
        <v>28</v>
      </c>
      <c r="C15" t="s">
        <v>24</v>
      </c>
      <c r="D15" t="s">
        <v>11</v>
      </c>
      <c r="E15" t="s">
        <v>12</v>
      </c>
      <c r="F15" t="s">
        <v>21</v>
      </c>
      <c r="G15">
        <v>16</v>
      </c>
      <c r="H15" s="2">
        <v>1.99</v>
      </c>
      <c r="I15" s="2">
        <v>11.19</v>
      </c>
    </row>
    <row r="16" spans="1:9" x14ac:dyDescent="0.3">
      <c r="A16" s="1">
        <v>45567</v>
      </c>
      <c r="B16" t="s">
        <v>28</v>
      </c>
      <c r="C16" t="s">
        <v>10</v>
      </c>
      <c r="D16" t="s">
        <v>11</v>
      </c>
      <c r="E16" t="s">
        <v>29</v>
      </c>
      <c r="F16" t="s">
        <v>21</v>
      </c>
      <c r="G16">
        <v>16</v>
      </c>
      <c r="H16" s="2">
        <v>1.98</v>
      </c>
      <c r="I16" s="2">
        <v>18.809999999999999</v>
      </c>
    </row>
    <row r="17" spans="1:9" x14ac:dyDescent="0.3">
      <c r="A17" s="1">
        <v>45371</v>
      </c>
      <c r="B17" t="s">
        <v>14</v>
      </c>
      <c r="C17" t="s">
        <v>17</v>
      </c>
      <c r="D17" t="s">
        <v>11</v>
      </c>
      <c r="E17" t="s">
        <v>18</v>
      </c>
      <c r="F17" t="s">
        <v>21</v>
      </c>
      <c r="G17">
        <v>16</v>
      </c>
      <c r="H17" s="2">
        <v>2.0099999999999998</v>
      </c>
      <c r="I17" s="2">
        <v>9.92</v>
      </c>
    </row>
    <row r="18" spans="1:9" x14ac:dyDescent="0.3">
      <c r="A18" s="1">
        <v>45569</v>
      </c>
      <c r="B18" t="s">
        <v>27</v>
      </c>
      <c r="C18" t="s">
        <v>24</v>
      </c>
      <c r="D18" t="s">
        <v>11</v>
      </c>
      <c r="E18" t="s">
        <v>29</v>
      </c>
      <c r="F18" t="s">
        <v>13</v>
      </c>
      <c r="G18">
        <v>20</v>
      </c>
      <c r="H18" s="2">
        <v>1.94</v>
      </c>
      <c r="I18" s="2">
        <v>16</v>
      </c>
    </row>
    <row r="19" spans="1:9" x14ac:dyDescent="0.3">
      <c r="A19" s="1">
        <v>45529</v>
      </c>
      <c r="B19" t="s">
        <v>14</v>
      </c>
      <c r="C19" t="s">
        <v>26</v>
      </c>
      <c r="D19" t="s">
        <v>11</v>
      </c>
      <c r="E19" t="s">
        <v>12</v>
      </c>
      <c r="F19" t="s">
        <v>21</v>
      </c>
      <c r="G19">
        <v>16</v>
      </c>
      <c r="H19" s="2">
        <v>2</v>
      </c>
      <c r="I19" s="2">
        <v>11.5</v>
      </c>
    </row>
    <row r="20" spans="1:9" x14ac:dyDescent="0.3">
      <c r="A20" s="1">
        <v>45400</v>
      </c>
      <c r="B20" t="s">
        <v>14</v>
      </c>
      <c r="C20" t="s">
        <v>10</v>
      </c>
      <c r="D20" t="s">
        <v>11</v>
      </c>
      <c r="E20" t="s">
        <v>30</v>
      </c>
      <c r="F20" t="s">
        <v>21</v>
      </c>
      <c r="G20">
        <v>16</v>
      </c>
      <c r="H20" s="2">
        <v>1.84</v>
      </c>
      <c r="I20" s="2">
        <v>14.15</v>
      </c>
    </row>
    <row r="21" spans="1:9" x14ac:dyDescent="0.3">
      <c r="A21" s="1">
        <v>45397</v>
      </c>
      <c r="B21" t="s">
        <v>14</v>
      </c>
      <c r="C21" t="s">
        <v>26</v>
      </c>
      <c r="D21" t="s">
        <v>11</v>
      </c>
      <c r="E21" t="s">
        <v>18</v>
      </c>
      <c r="F21" t="s">
        <v>21</v>
      </c>
      <c r="G21">
        <v>16</v>
      </c>
      <c r="H21" s="2">
        <v>1.91</v>
      </c>
      <c r="I21" s="2">
        <v>8.9499999999999993</v>
      </c>
    </row>
    <row r="22" spans="1:9" x14ac:dyDescent="0.3">
      <c r="A22" s="1">
        <v>45547</v>
      </c>
      <c r="B22" t="s">
        <v>9</v>
      </c>
      <c r="C22" t="s">
        <v>15</v>
      </c>
      <c r="D22" t="s">
        <v>11</v>
      </c>
      <c r="E22" t="s">
        <v>20</v>
      </c>
      <c r="F22" t="s">
        <v>25</v>
      </c>
      <c r="G22">
        <v>18</v>
      </c>
      <c r="H22" s="2">
        <v>1.98</v>
      </c>
      <c r="I22" s="2">
        <v>5.28</v>
      </c>
    </row>
    <row r="23" spans="1:9" x14ac:dyDescent="0.3">
      <c r="A23" s="1">
        <v>45475</v>
      </c>
      <c r="B23" t="s">
        <v>27</v>
      </c>
      <c r="C23" t="s">
        <v>24</v>
      </c>
      <c r="D23" t="s">
        <v>11</v>
      </c>
      <c r="E23" t="s">
        <v>12</v>
      </c>
      <c r="F23" t="s">
        <v>13</v>
      </c>
      <c r="G23">
        <v>20</v>
      </c>
      <c r="H23" s="2">
        <v>1.87</v>
      </c>
      <c r="I23" s="2">
        <v>9.35</v>
      </c>
    </row>
    <row r="24" spans="1:9" x14ac:dyDescent="0.3">
      <c r="A24" s="1">
        <v>45402</v>
      </c>
      <c r="B24" t="s">
        <v>9</v>
      </c>
      <c r="C24" t="s">
        <v>31</v>
      </c>
      <c r="D24" t="s">
        <v>11</v>
      </c>
      <c r="E24" t="s">
        <v>18</v>
      </c>
      <c r="F24" t="s">
        <v>25</v>
      </c>
      <c r="G24">
        <v>18</v>
      </c>
      <c r="H24" s="2">
        <v>2.1</v>
      </c>
      <c r="I24" s="2">
        <v>7.82</v>
      </c>
    </row>
    <row r="25" spans="1:9" x14ac:dyDescent="0.3">
      <c r="A25" s="1">
        <v>45403</v>
      </c>
      <c r="B25" t="s">
        <v>27</v>
      </c>
      <c r="C25" t="s">
        <v>26</v>
      </c>
      <c r="D25" t="s">
        <v>11</v>
      </c>
      <c r="E25" t="s">
        <v>20</v>
      </c>
      <c r="F25" t="s">
        <v>13</v>
      </c>
      <c r="G25">
        <v>20</v>
      </c>
      <c r="H25" s="2">
        <v>2.0499999999999998</v>
      </c>
      <c r="I25" s="2">
        <v>4.41</v>
      </c>
    </row>
    <row r="26" spans="1:9" x14ac:dyDescent="0.3">
      <c r="A26" s="1">
        <v>45350</v>
      </c>
      <c r="B26" t="s">
        <v>27</v>
      </c>
      <c r="C26" t="s">
        <v>26</v>
      </c>
      <c r="D26" t="s">
        <v>11</v>
      </c>
      <c r="E26" t="s">
        <v>18</v>
      </c>
      <c r="F26" t="s">
        <v>19</v>
      </c>
      <c r="G26">
        <v>14</v>
      </c>
      <c r="H26" s="2">
        <v>2.0499999999999998</v>
      </c>
      <c r="I26" s="2">
        <v>10.84</v>
      </c>
    </row>
    <row r="27" spans="1:9" x14ac:dyDescent="0.3">
      <c r="A27" s="1">
        <v>45357</v>
      </c>
      <c r="B27" t="s">
        <v>22</v>
      </c>
      <c r="C27" t="s">
        <v>15</v>
      </c>
      <c r="D27" t="s">
        <v>11</v>
      </c>
      <c r="E27" t="s">
        <v>20</v>
      </c>
      <c r="F27" t="s">
        <v>25</v>
      </c>
      <c r="G27">
        <v>18</v>
      </c>
      <c r="H27" s="2">
        <v>1.84</v>
      </c>
      <c r="I27" s="2">
        <v>4.1900000000000004</v>
      </c>
    </row>
    <row r="28" spans="1:9" x14ac:dyDescent="0.3">
      <c r="A28" s="1">
        <v>45623</v>
      </c>
      <c r="B28" t="s">
        <v>9</v>
      </c>
      <c r="C28" t="s">
        <v>24</v>
      </c>
      <c r="D28" t="s">
        <v>11</v>
      </c>
      <c r="E28" t="s">
        <v>29</v>
      </c>
      <c r="F28" t="s">
        <v>19</v>
      </c>
      <c r="G28">
        <v>14</v>
      </c>
      <c r="H28" s="2">
        <v>1.76</v>
      </c>
      <c r="I28" s="2">
        <v>21.25</v>
      </c>
    </row>
    <row r="29" spans="1:9" x14ac:dyDescent="0.3">
      <c r="A29" s="1">
        <v>45305</v>
      </c>
      <c r="B29" t="s">
        <v>9</v>
      </c>
      <c r="C29" t="s">
        <v>31</v>
      </c>
      <c r="D29" t="s">
        <v>11</v>
      </c>
      <c r="E29" t="s">
        <v>18</v>
      </c>
      <c r="F29" t="s">
        <v>25</v>
      </c>
      <c r="G29">
        <v>18</v>
      </c>
      <c r="H29" s="2">
        <v>1.84</v>
      </c>
      <c r="I29" s="2">
        <v>8.69</v>
      </c>
    </row>
    <row r="30" spans="1:9" x14ac:dyDescent="0.3">
      <c r="A30" s="1">
        <v>45328</v>
      </c>
      <c r="B30" t="s">
        <v>9</v>
      </c>
      <c r="C30" t="s">
        <v>15</v>
      </c>
      <c r="D30" t="s">
        <v>11</v>
      </c>
      <c r="E30" t="s">
        <v>12</v>
      </c>
      <c r="F30" t="s">
        <v>13</v>
      </c>
      <c r="G30">
        <v>20</v>
      </c>
      <c r="H30" s="2">
        <v>1.75</v>
      </c>
      <c r="I30" s="2">
        <v>7.35</v>
      </c>
    </row>
    <row r="31" spans="1:9" x14ac:dyDescent="0.3">
      <c r="A31" s="1">
        <v>45548</v>
      </c>
      <c r="B31" t="s">
        <v>22</v>
      </c>
      <c r="C31" t="s">
        <v>24</v>
      </c>
      <c r="D31" t="s">
        <v>11</v>
      </c>
      <c r="E31" t="s">
        <v>30</v>
      </c>
      <c r="F31" t="s">
        <v>19</v>
      </c>
      <c r="G31">
        <v>14</v>
      </c>
      <c r="H31" s="2">
        <v>1.82</v>
      </c>
      <c r="I31" s="2">
        <v>15.6</v>
      </c>
    </row>
    <row r="32" spans="1:9" x14ac:dyDescent="0.3">
      <c r="A32" s="1">
        <v>45557</v>
      </c>
      <c r="B32" t="s">
        <v>22</v>
      </c>
      <c r="C32" t="s">
        <v>26</v>
      </c>
      <c r="D32" t="s">
        <v>11</v>
      </c>
      <c r="E32" t="s">
        <v>12</v>
      </c>
      <c r="F32" t="s">
        <v>25</v>
      </c>
      <c r="G32">
        <v>18</v>
      </c>
      <c r="H32" s="2">
        <v>1.79</v>
      </c>
      <c r="I32" s="2">
        <v>9.15</v>
      </c>
    </row>
    <row r="33" spans="1:9" x14ac:dyDescent="0.3">
      <c r="A33" s="1">
        <v>45585</v>
      </c>
      <c r="B33" t="s">
        <v>28</v>
      </c>
      <c r="C33" t="s">
        <v>17</v>
      </c>
      <c r="D33" t="s">
        <v>11</v>
      </c>
      <c r="E33" t="s">
        <v>12</v>
      </c>
      <c r="F33" t="s">
        <v>19</v>
      </c>
      <c r="G33">
        <v>14</v>
      </c>
      <c r="H33" s="2">
        <v>1.95</v>
      </c>
      <c r="I33" s="2">
        <v>13.37</v>
      </c>
    </row>
    <row r="34" spans="1:9" x14ac:dyDescent="0.3">
      <c r="A34" s="1">
        <v>45320</v>
      </c>
      <c r="B34" t="s">
        <v>27</v>
      </c>
      <c r="C34" t="s">
        <v>31</v>
      </c>
      <c r="D34" t="s">
        <v>11</v>
      </c>
      <c r="E34" t="s">
        <v>30</v>
      </c>
      <c r="F34" t="s">
        <v>19</v>
      </c>
      <c r="G34">
        <v>14</v>
      </c>
      <c r="H34" s="2">
        <v>1.79</v>
      </c>
      <c r="I34" s="2">
        <v>15.21</v>
      </c>
    </row>
    <row r="35" spans="1:9" x14ac:dyDescent="0.3">
      <c r="A35" s="1">
        <v>45515</v>
      </c>
      <c r="B35" t="s">
        <v>28</v>
      </c>
      <c r="C35" t="s">
        <v>10</v>
      </c>
      <c r="D35" t="s">
        <v>11</v>
      </c>
      <c r="E35" t="s">
        <v>12</v>
      </c>
      <c r="F35" t="s">
        <v>25</v>
      </c>
      <c r="G35">
        <v>18</v>
      </c>
      <c r="H35" s="2">
        <v>1.93</v>
      </c>
      <c r="I35" s="2">
        <v>10.51</v>
      </c>
    </row>
    <row r="36" spans="1:9" x14ac:dyDescent="0.3">
      <c r="A36" s="1">
        <v>45313</v>
      </c>
      <c r="B36" t="s">
        <v>27</v>
      </c>
      <c r="C36" t="s">
        <v>10</v>
      </c>
      <c r="D36" t="s">
        <v>11</v>
      </c>
      <c r="E36" t="s">
        <v>30</v>
      </c>
      <c r="F36" t="s">
        <v>19</v>
      </c>
      <c r="G36">
        <v>14</v>
      </c>
      <c r="H36" s="2">
        <v>1.94</v>
      </c>
      <c r="I36" s="2">
        <v>15.1</v>
      </c>
    </row>
    <row r="37" spans="1:9" x14ac:dyDescent="0.3">
      <c r="A37" s="1">
        <v>45613</v>
      </c>
      <c r="B37" t="s">
        <v>22</v>
      </c>
      <c r="C37" t="s">
        <v>31</v>
      </c>
      <c r="D37" t="s">
        <v>11</v>
      </c>
      <c r="E37" t="s">
        <v>16</v>
      </c>
      <c r="F37" t="s">
        <v>13</v>
      </c>
      <c r="G37">
        <v>20</v>
      </c>
      <c r="H37" s="2">
        <v>1.97</v>
      </c>
      <c r="I37" s="2">
        <v>3.94</v>
      </c>
    </row>
    <row r="38" spans="1:9" x14ac:dyDescent="0.3">
      <c r="A38" s="1">
        <v>45393</v>
      </c>
      <c r="B38" t="s">
        <v>9</v>
      </c>
      <c r="C38" t="s">
        <v>26</v>
      </c>
      <c r="D38" t="s">
        <v>11</v>
      </c>
      <c r="E38" t="s">
        <v>29</v>
      </c>
      <c r="F38" t="s">
        <v>25</v>
      </c>
      <c r="G38">
        <v>18</v>
      </c>
      <c r="H38" s="2">
        <v>1.75</v>
      </c>
      <c r="I38" s="2">
        <v>14.88</v>
      </c>
    </row>
    <row r="39" spans="1:9" x14ac:dyDescent="0.3">
      <c r="A39" s="1">
        <v>45372</v>
      </c>
      <c r="B39" t="s">
        <v>14</v>
      </c>
      <c r="C39" t="s">
        <v>24</v>
      </c>
      <c r="D39" t="s">
        <v>11</v>
      </c>
      <c r="E39" t="s">
        <v>16</v>
      </c>
      <c r="F39" t="s">
        <v>13</v>
      </c>
      <c r="G39">
        <v>20</v>
      </c>
      <c r="H39" s="2">
        <v>1.77</v>
      </c>
      <c r="I39" s="2">
        <v>4.25</v>
      </c>
    </row>
    <row r="40" spans="1:9" x14ac:dyDescent="0.3">
      <c r="A40" s="1">
        <v>45407</v>
      </c>
      <c r="B40" t="s">
        <v>27</v>
      </c>
      <c r="C40" t="s">
        <v>15</v>
      </c>
      <c r="D40" t="s">
        <v>11</v>
      </c>
      <c r="E40" t="s">
        <v>16</v>
      </c>
      <c r="F40" t="s">
        <v>13</v>
      </c>
      <c r="G40">
        <v>20</v>
      </c>
      <c r="H40" s="2">
        <v>1.77</v>
      </c>
      <c r="I40" s="2">
        <v>3.45</v>
      </c>
    </row>
    <row r="41" spans="1:9" x14ac:dyDescent="0.3">
      <c r="A41" s="1">
        <v>45351</v>
      </c>
      <c r="B41" t="s">
        <v>9</v>
      </c>
      <c r="C41" t="s">
        <v>26</v>
      </c>
      <c r="D41" t="s">
        <v>11</v>
      </c>
      <c r="E41" t="s">
        <v>16</v>
      </c>
      <c r="F41" t="s">
        <v>25</v>
      </c>
      <c r="G41">
        <v>18</v>
      </c>
      <c r="H41" s="2">
        <v>1.85</v>
      </c>
      <c r="I41" s="2">
        <v>4.1100000000000003</v>
      </c>
    </row>
    <row r="42" spans="1:9" x14ac:dyDescent="0.3">
      <c r="A42" s="1">
        <v>45645</v>
      </c>
      <c r="B42" t="s">
        <v>14</v>
      </c>
      <c r="C42" t="s">
        <v>10</v>
      </c>
      <c r="D42" t="s">
        <v>11</v>
      </c>
      <c r="E42" t="s">
        <v>16</v>
      </c>
      <c r="F42" t="s">
        <v>25</v>
      </c>
      <c r="G42">
        <v>18</v>
      </c>
      <c r="H42" s="2">
        <v>2.0099999999999998</v>
      </c>
      <c r="I42" s="2">
        <v>4.13</v>
      </c>
    </row>
    <row r="43" spans="1:9" x14ac:dyDescent="0.3">
      <c r="A43" s="1">
        <v>45466</v>
      </c>
      <c r="B43" t="s">
        <v>9</v>
      </c>
      <c r="C43" t="s">
        <v>10</v>
      </c>
      <c r="D43" t="s">
        <v>11</v>
      </c>
      <c r="E43" t="s">
        <v>30</v>
      </c>
      <c r="F43" t="s">
        <v>25</v>
      </c>
      <c r="G43">
        <v>18</v>
      </c>
      <c r="H43" s="2">
        <v>1.95</v>
      </c>
      <c r="I43" s="2">
        <v>12.67</v>
      </c>
    </row>
    <row r="44" spans="1:9" x14ac:dyDescent="0.3">
      <c r="A44" s="1">
        <v>45329</v>
      </c>
      <c r="B44" t="s">
        <v>27</v>
      </c>
      <c r="C44" t="s">
        <v>24</v>
      </c>
      <c r="D44" t="s">
        <v>11</v>
      </c>
      <c r="E44" t="s">
        <v>12</v>
      </c>
      <c r="F44" t="s">
        <v>25</v>
      </c>
      <c r="G44">
        <v>18</v>
      </c>
      <c r="H44" s="2">
        <v>1.9</v>
      </c>
      <c r="I44" s="2">
        <v>9.7100000000000009</v>
      </c>
    </row>
    <row r="45" spans="1:9" x14ac:dyDescent="0.3">
      <c r="A45" s="1">
        <v>45354</v>
      </c>
      <c r="B45" t="s">
        <v>9</v>
      </c>
      <c r="C45" t="s">
        <v>10</v>
      </c>
      <c r="D45" t="s">
        <v>11</v>
      </c>
      <c r="E45" t="s">
        <v>20</v>
      </c>
      <c r="F45" t="s">
        <v>19</v>
      </c>
      <c r="G45">
        <v>14</v>
      </c>
      <c r="H45" s="2">
        <v>1.85</v>
      </c>
      <c r="I45" s="2">
        <v>5.81</v>
      </c>
    </row>
    <row r="46" spans="1:9" x14ac:dyDescent="0.3">
      <c r="A46" s="1">
        <v>45540</v>
      </c>
      <c r="B46" t="s">
        <v>14</v>
      </c>
      <c r="C46" t="s">
        <v>10</v>
      </c>
      <c r="D46" t="s">
        <v>11</v>
      </c>
      <c r="E46" t="s">
        <v>12</v>
      </c>
      <c r="F46" t="s">
        <v>21</v>
      </c>
      <c r="G46">
        <v>16</v>
      </c>
      <c r="H46" s="2">
        <v>2.0299999999999998</v>
      </c>
      <c r="I46" s="2">
        <v>12.43</v>
      </c>
    </row>
    <row r="47" spans="1:9" x14ac:dyDescent="0.3">
      <c r="A47" s="1">
        <v>45310</v>
      </c>
      <c r="B47" t="s">
        <v>14</v>
      </c>
      <c r="C47" t="s">
        <v>24</v>
      </c>
      <c r="D47" t="s">
        <v>11</v>
      </c>
      <c r="E47" t="s">
        <v>30</v>
      </c>
      <c r="F47" t="s">
        <v>21</v>
      </c>
      <c r="G47">
        <v>16</v>
      </c>
      <c r="H47" s="2">
        <v>1.98</v>
      </c>
      <c r="I47" s="2">
        <v>14.36</v>
      </c>
    </row>
    <row r="48" spans="1:9" x14ac:dyDescent="0.3">
      <c r="A48" s="1">
        <v>45348</v>
      </c>
      <c r="B48" t="s">
        <v>22</v>
      </c>
      <c r="C48" t="s">
        <v>15</v>
      </c>
      <c r="D48" t="s">
        <v>11</v>
      </c>
      <c r="E48" t="s">
        <v>30</v>
      </c>
      <c r="F48" t="s">
        <v>19</v>
      </c>
      <c r="G48">
        <v>14</v>
      </c>
      <c r="H48" s="2">
        <v>1.97</v>
      </c>
      <c r="I48" s="2">
        <v>17.59</v>
      </c>
    </row>
    <row r="49" spans="1:9" x14ac:dyDescent="0.3">
      <c r="A49" s="1">
        <v>45370</v>
      </c>
      <c r="B49" t="s">
        <v>9</v>
      </c>
      <c r="C49" t="s">
        <v>10</v>
      </c>
      <c r="D49" t="s">
        <v>11</v>
      </c>
      <c r="E49" t="s">
        <v>12</v>
      </c>
      <c r="F49" t="s">
        <v>21</v>
      </c>
      <c r="G49">
        <v>16</v>
      </c>
      <c r="H49" s="2">
        <v>2.09</v>
      </c>
      <c r="I49" s="2">
        <v>11.63</v>
      </c>
    </row>
    <row r="50" spans="1:9" x14ac:dyDescent="0.3">
      <c r="A50" s="1">
        <v>45493</v>
      </c>
      <c r="B50" t="s">
        <v>9</v>
      </c>
      <c r="C50" t="s">
        <v>15</v>
      </c>
      <c r="D50" t="s">
        <v>11</v>
      </c>
      <c r="E50" t="s">
        <v>16</v>
      </c>
      <c r="F50" t="s">
        <v>25</v>
      </c>
      <c r="G50">
        <v>18</v>
      </c>
      <c r="H50" s="2">
        <v>2.0499999999999998</v>
      </c>
      <c r="I50" s="2">
        <v>5.69</v>
      </c>
    </row>
    <row r="51" spans="1:9" x14ac:dyDescent="0.3">
      <c r="A51" s="1">
        <v>45559</v>
      </c>
      <c r="B51" t="s">
        <v>14</v>
      </c>
      <c r="C51" t="s">
        <v>17</v>
      </c>
      <c r="D51" t="s">
        <v>11</v>
      </c>
      <c r="E51" t="s">
        <v>12</v>
      </c>
      <c r="F51" t="s">
        <v>19</v>
      </c>
      <c r="G51">
        <v>14</v>
      </c>
      <c r="H51" s="2">
        <v>2.0099999999999998</v>
      </c>
      <c r="I51" s="2">
        <v>13.78</v>
      </c>
    </row>
    <row r="52" spans="1:9" x14ac:dyDescent="0.3">
      <c r="A52" s="1">
        <v>45524</v>
      </c>
      <c r="B52" t="s">
        <v>9</v>
      </c>
      <c r="C52" t="s">
        <v>15</v>
      </c>
      <c r="D52" t="s">
        <v>11</v>
      </c>
      <c r="E52" t="s">
        <v>30</v>
      </c>
      <c r="F52" t="s">
        <v>19</v>
      </c>
      <c r="G52">
        <v>14</v>
      </c>
      <c r="H52" s="2">
        <v>1.91</v>
      </c>
      <c r="I52" s="2">
        <v>16.37</v>
      </c>
    </row>
    <row r="53" spans="1:9" x14ac:dyDescent="0.3">
      <c r="A53" s="1">
        <v>45498</v>
      </c>
      <c r="B53" t="s">
        <v>22</v>
      </c>
      <c r="C53" t="s">
        <v>15</v>
      </c>
      <c r="D53" t="s">
        <v>11</v>
      </c>
      <c r="E53" t="s">
        <v>29</v>
      </c>
      <c r="F53" t="s">
        <v>19</v>
      </c>
      <c r="G53">
        <v>14</v>
      </c>
      <c r="H53" s="2">
        <v>1.99</v>
      </c>
      <c r="I53" s="2">
        <v>23.31</v>
      </c>
    </row>
    <row r="54" spans="1:9" x14ac:dyDescent="0.3">
      <c r="A54" s="1">
        <v>45505</v>
      </c>
      <c r="B54" t="s">
        <v>9</v>
      </c>
      <c r="C54" t="s">
        <v>15</v>
      </c>
      <c r="D54" t="s">
        <v>11</v>
      </c>
      <c r="E54" t="s">
        <v>20</v>
      </c>
      <c r="F54" t="s">
        <v>25</v>
      </c>
      <c r="G54">
        <v>18</v>
      </c>
      <c r="H54" s="2">
        <v>1.92</v>
      </c>
      <c r="I54" s="2">
        <v>4.2699999999999996</v>
      </c>
    </row>
    <row r="55" spans="1:9" x14ac:dyDescent="0.3">
      <c r="A55" s="1">
        <v>45387</v>
      </c>
      <c r="B55" t="s">
        <v>27</v>
      </c>
      <c r="C55" t="s">
        <v>26</v>
      </c>
      <c r="D55" t="s">
        <v>11</v>
      </c>
      <c r="E55" t="s">
        <v>23</v>
      </c>
      <c r="F55" t="s">
        <v>19</v>
      </c>
      <c r="G55">
        <v>14</v>
      </c>
      <c r="H55" s="2">
        <v>2.02</v>
      </c>
      <c r="I55" s="2">
        <v>14.72</v>
      </c>
    </row>
    <row r="56" spans="1:9" x14ac:dyDescent="0.3">
      <c r="A56" s="1">
        <v>45525</v>
      </c>
      <c r="B56" t="s">
        <v>14</v>
      </c>
      <c r="C56" t="s">
        <v>24</v>
      </c>
      <c r="D56" t="s">
        <v>11</v>
      </c>
      <c r="E56" t="s">
        <v>29</v>
      </c>
      <c r="F56" t="s">
        <v>13</v>
      </c>
      <c r="G56">
        <v>20</v>
      </c>
      <c r="H56" s="2">
        <v>1.98</v>
      </c>
      <c r="I56" s="2">
        <v>15.35</v>
      </c>
    </row>
    <row r="57" spans="1:9" x14ac:dyDescent="0.3">
      <c r="A57" s="1">
        <v>45303</v>
      </c>
      <c r="B57" t="s">
        <v>9</v>
      </c>
      <c r="C57" t="s">
        <v>31</v>
      </c>
      <c r="D57" t="s">
        <v>11</v>
      </c>
      <c r="E57" t="s">
        <v>29</v>
      </c>
      <c r="F57" t="s">
        <v>25</v>
      </c>
      <c r="G57">
        <v>18</v>
      </c>
      <c r="H57" s="2">
        <v>2.0699999999999998</v>
      </c>
      <c r="I57" s="2">
        <v>17.48</v>
      </c>
    </row>
    <row r="58" spans="1:9" x14ac:dyDescent="0.3">
      <c r="A58" s="1">
        <v>45546</v>
      </c>
      <c r="B58" t="s">
        <v>28</v>
      </c>
      <c r="C58" t="s">
        <v>10</v>
      </c>
      <c r="D58" t="s">
        <v>11</v>
      </c>
      <c r="E58" t="s">
        <v>20</v>
      </c>
      <c r="F58" t="s">
        <v>21</v>
      </c>
      <c r="G58">
        <v>16</v>
      </c>
      <c r="H58" s="2">
        <v>1.79</v>
      </c>
      <c r="I58" s="2">
        <v>3.92</v>
      </c>
    </row>
    <row r="59" spans="1:9" x14ac:dyDescent="0.3">
      <c r="A59" s="1">
        <v>45552</v>
      </c>
      <c r="B59" t="s">
        <v>22</v>
      </c>
      <c r="C59" t="s">
        <v>31</v>
      </c>
      <c r="D59" t="s">
        <v>11</v>
      </c>
      <c r="E59" t="s">
        <v>23</v>
      </c>
      <c r="F59" t="s">
        <v>19</v>
      </c>
      <c r="G59">
        <v>14</v>
      </c>
      <c r="H59" s="2">
        <v>1.96</v>
      </c>
      <c r="I59" s="2">
        <v>15.4</v>
      </c>
    </row>
    <row r="60" spans="1:9" x14ac:dyDescent="0.3">
      <c r="A60" s="1">
        <v>45632</v>
      </c>
      <c r="B60" t="s">
        <v>14</v>
      </c>
      <c r="C60" t="s">
        <v>10</v>
      </c>
      <c r="D60" t="s">
        <v>11</v>
      </c>
      <c r="E60" t="s">
        <v>30</v>
      </c>
      <c r="F60" t="s">
        <v>25</v>
      </c>
      <c r="G60">
        <v>18</v>
      </c>
      <c r="H60" s="2">
        <v>1.77</v>
      </c>
      <c r="I60" s="2">
        <v>10.92</v>
      </c>
    </row>
    <row r="61" spans="1:9" x14ac:dyDescent="0.3">
      <c r="A61" s="1">
        <v>45570</v>
      </c>
      <c r="B61" t="s">
        <v>27</v>
      </c>
      <c r="C61" t="s">
        <v>15</v>
      </c>
      <c r="D61" t="s">
        <v>11</v>
      </c>
      <c r="E61" t="s">
        <v>29</v>
      </c>
      <c r="F61" t="s">
        <v>19</v>
      </c>
      <c r="G61">
        <v>14</v>
      </c>
      <c r="H61" s="2">
        <v>2.0499999999999998</v>
      </c>
      <c r="I61" s="2">
        <v>22.55</v>
      </c>
    </row>
    <row r="62" spans="1:9" x14ac:dyDescent="0.3">
      <c r="A62" s="1">
        <v>45467</v>
      </c>
      <c r="B62" t="s">
        <v>28</v>
      </c>
      <c r="C62" t="s">
        <v>10</v>
      </c>
      <c r="D62" t="s">
        <v>11</v>
      </c>
      <c r="E62" t="s">
        <v>20</v>
      </c>
      <c r="F62" t="s">
        <v>19</v>
      </c>
      <c r="G62">
        <v>14</v>
      </c>
      <c r="H62" s="2">
        <v>1.91</v>
      </c>
      <c r="I62" s="2">
        <v>6.14</v>
      </c>
    </row>
    <row r="63" spans="1:9" x14ac:dyDescent="0.3">
      <c r="A63" s="1">
        <v>45650</v>
      </c>
      <c r="B63" t="s">
        <v>9</v>
      </c>
      <c r="C63" t="s">
        <v>31</v>
      </c>
      <c r="D63" t="s">
        <v>11</v>
      </c>
      <c r="E63" t="s">
        <v>20</v>
      </c>
      <c r="F63" t="s">
        <v>13</v>
      </c>
      <c r="G63">
        <v>20</v>
      </c>
      <c r="H63" s="2">
        <v>2.0699999999999998</v>
      </c>
      <c r="I63" s="2">
        <v>3.21</v>
      </c>
    </row>
    <row r="64" spans="1:9" x14ac:dyDescent="0.3">
      <c r="A64" s="1">
        <v>45628</v>
      </c>
      <c r="B64" t="s">
        <v>22</v>
      </c>
      <c r="C64" t="s">
        <v>31</v>
      </c>
      <c r="D64" t="s">
        <v>11</v>
      </c>
      <c r="E64" t="s">
        <v>12</v>
      </c>
      <c r="F64" t="s">
        <v>25</v>
      </c>
      <c r="G64">
        <v>18</v>
      </c>
      <c r="H64" s="2">
        <v>1.96</v>
      </c>
      <c r="I64" s="2">
        <v>9.91</v>
      </c>
    </row>
    <row r="65" spans="1:9" x14ac:dyDescent="0.3">
      <c r="A65" s="1">
        <v>45618</v>
      </c>
      <c r="B65" t="s">
        <v>14</v>
      </c>
      <c r="C65" t="s">
        <v>17</v>
      </c>
      <c r="D65" t="s">
        <v>11</v>
      </c>
      <c r="E65" t="s">
        <v>30</v>
      </c>
      <c r="F65" t="s">
        <v>25</v>
      </c>
      <c r="G65">
        <v>18</v>
      </c>
      <c r="H65" s="2">
        <v>1.91</v>
      </c>
      <c r="I65" s="2">
        <v>12.95</v>
      </c>
    </row>
    <row r="66" spans="1:9" x14ac:dyDescent="0.3">
      <c r="A66" s="1">
        <v>45600</v>
      </c>
      <c r="B66" t="s">
        <v>28</v>
      </c>
      <c r="C66" t="s">
        <v>17</v>
      </c>
      <c r="D66" t="s">
        <v>11</v>
      </c>
      <c r="E66" t="s">
        <v>18</v>
      </c>
      <c r="F66" t="s">
        <v>21</v>
      </c>
      <c r="G66">
        <v>16</v>
      </c>
      <c r="H66" s="2">
        <v>2.0099999999999998</v>
      </c>
      <c r="I66" s="2">
        <v>9.0399999999999991</v>
      </c>
    </row>
    <row r="67" spans="1:9" x14ac:dyDescent="0.3">
      <c r="A67" s="1">
        <v>45391</v>
      </c>
      <c r="B67" t="s">
        <v>14</v>
      </c>
      <c r="C67" t="s">
        <v>31</v>
      </c>
      <c r="D67" t="s">
        <v>11</v>
      </c>
      <c r="E67" t="s">
        <v>12</v>
      </c>
      <c r="F67" t="s">
        <v>13</v>
      </c>
      <c r="G67">
        <v>20</v>
      </c>
      <c r="H67" s="2">
        <v>1.96</v>
      </c>
      <c r="I67" s="2">
        <v>9.41</v>
      </c>
    </row>
    <row r="68" spans="1:9" x14ac:dyDescent="0.3">
      <c r="A68" s="1">
        <v>45420</v>
      </c>
      <c r="B68" t="s">
        <v>14</v>
      </c>
      <c r="C68" t="s">
        <v>17</v>
      </c>
      <c r="D68" t="s">
        <v>11</v>
      </c>
      <c r="E68" t="s">
        <v>30</v>
      </c>
      <c r="F68" t="s">
        <v>21</v>
      </c>
      <c r="G68">
        <v>16</v>
      </c>
      <c r="H68" s="2">
        <v>2.1</v>
      </c>
      <c r="I68" s="2">
        <v>14.83</v>
      </c>
    </row>
    <row r="69" spans="1:9" x14ac:dyDescent="0.3">
      <c r="A69" s="1">
        <v>45375</v>
      </c>
      <c r="B69" t="s">
        <v>22</v>
      </c>
      <c r="C69" t="s">
        <v>15</v>
      </c>
      <c r="D69" t="s">
        <v>11</v>
      </c>
      <c r="E69" t="s">
        <v>23</v>
      </c>
      <c r="F69" t="s">
        <v>25</v>
      </c>
      <c r="G69">
        <v>18</v>
      </c>
      <c r="H69" s="2">
        <v>1.87</v>
      </c>
      <c r="I69" s="2">
        <v>10.39</v>
      </c>
    </row>
    <row r="70" spans="1:9" x14ac:dyDescent="0.3">
      <c r="A70" s="1">
        <v>45372</v>
      </c>
      <c r="B70" t="s">
        <v>27</v>
      </c>
      <c r="C70" t="s">
        <v>15</v>
      </c>
      <c r="D70" t="s">
        <v>11</v>
      </c>
      <c r="E70" t="s">
        <v>18</v>
      </c>
      <c r="F70" t="s">
        <v>19</v>
      </c>
      <c r="G70">
        <v>14</v>
      </c>
      <c r="H70" s="2">
        <v>1.9</v>
      </c>
      <c r="I70" s="2">
        <v>9.09</v>
      </c>
    </row>
    <row r="71" spans="1:9" x14ac:dyDescent="0.3">
      <c r="A71" s="1">
        <v>45457</v>
      </c>
      <c r="B71" t="s">
        <v>27</v>
      </c>
      <c r="C71" t="s">
        <v>15</v>
      </c>
      <c r="D71" t="s">
        <v>11</v>
      </c>
      <c r="E71" t="s">
        <v>23</v>
      </c>
      <c r="F71" t="s">
        <v>25</v>
      </c>
      <c r="G71">
        <v>18</v>
      </c>
      <c r="H71" s="2">
        <v>1.87</v>
      </c>
      <c r="I71" s="2">
        <v>11.12</v>
      </c>
    </row>
    <row r="72" spans="1:9" x14ac:dyDescent="0.3">
      <c r="A72" s="1">
        <v>45397</v>
      </c>
      <c r="B72" t="s">
        <v>27</v>
      </c>
      <c r="C72" t="s">
        <v>31</v>
      </c>
      <c r="D72" t="s">
        <v>11</v>
      </c>
      <c r="E72" t="s">
        <v>23</v>
      </c>
      <c r="F72" t="s">
        <v>21</v>
      </c>
      <c r="G72">
        <v>16</v>
      </c>
      <c r="H72" s="2">
        <v>1.9</v>
      </c>
      <c r="I72" s="2">
        <v>12.94</v>
      </c>
    </row>
    <row r="73" spans="1:9" x14ac:dyDescent="0.3">
      <c r="A73" s="1">
        <v>45416</v>
      </c>
      <c r="B73" t="s">
        <v>28</v>
      </c>
      <c r="C73" t="s">
        <v>31</v>
      </c>
      <c r="D73" t="s">
        <v>11</v>
      </c>
      <c r="E73" t="s">
        <v>20</v>
      </c>
      <c r="F73" t="s">
        <v>21</v>
      </c>
      <c r="G73">
        <v>16</v>
      </c>
      <c r="H73" s="2">
        <v>1.79</v>
      </c>
      <c r="I73" s="2">
        <v>4.1399999999999997</v>
      </c>
    </row>
    <row r="74" spans="1:9" x14ac:dyDescent="0.3">
      <c r="A74" s="1">
        <v>45622</v>
      </c>
      <c r="B74" t="s">
        <v>28</v>
      </c>
      <c r="C74" t="s">
        <v>24</v>
      </c>
      <c r="D74" t="s">
        <v>11</v>
      </c>
      <c r="E74" t="s">
        <v>18</v>
      </c>
      <c r="F74" t="s">
        <v>25</v>
      </c>
      <c r="G74">
        <v>18</v>
      </c>
      <c r="H74" s="2">
        <v>2</v>
      </c>
      <c r="I74" s="2">
        <v>9.11</v>
      </c>
    </row>
    <row r="75" spans="1:9" x14ac:dyDescent="0.3">
      <c r="A75" s="1">
        <v>45317</v>
      </c>
      <c r="B75" t="s">
        <v>28</v>
      </c>
      <c r="C75" t="s">
        <v>31</v>
      </c>
      <c r="D75" t="s">
        <v>11</v>
      </c>
      <c r="E75" t="s">
        <v>12</v>
      </c>
      <c r="F75" t="s">
        <v>25</v>
      </c>
      <c r="G75">
        <v>18</v>
      </c>
      <c r="H75" s="2">
        <v>2.0699999999999998</v>
      </c>
      <c r="I75" s="2">
        <v>9.5399999999999991</v>
      </c>
    </row>
    <row r="76" spans="1:9" x14ac:dyDescent="0.3">
      <c r="A76" s="1">
        <v>45411</v>
      </c>
      <c r="B76" t="s">
        <v>14</v>
      </c>
      <c r="C76" t="s">
        <v>24</v>
      </c>
      <c r="D76" t="s">
        <v>11</v>
      </c>
      <c r="E76" t="s">
        <v>16</v>
      </c>
      <c r="F76" t="s">
        <v>19</v>
      </c>
      <c r="G76">
        <v>14</v>
      </c>
      <c r="H76" s="2">
        <v>2.04</v>
      </c>
      <c r="I76" s="2">
        <v>6.56</v>
      </c>
    </row>
    <row r="77" spans="1:9" x14ac:dyDescent="0.3">
      <c r="A77" s="1">
        <v>45462</v>
      </c>
      <c r="B77" t="s">
        <v>22</v>
      </c>
      <c r="C77" t="s">
        <v>15</v>
      </c>
      <c r="D77" t="s">
        <v>11</v>
      </c>
      <c r="E77" t="s">
        <v>16</v>
      </c>
      <c r="F77" t="s">
        <v>21</v>
      </c>
      <c r="G77">
        <v>16</v>
      </c>
      <c r="H77" s="2">
        <v>2.0299999999999998</v>
      </c>
      <c r="I77" s="2">
        <v>5.07</v>
      </c>
    </row>
    <row r="78" spans="1:9" x14ac:dyDescent="0.3">
      <c r="A78" s="1">
        <v>45518</v>
      </c>
      <c r="B78" t="s">
        <v>28</v>
      </c>
      <c r="C78" t="s">
        <v>26</v>
      </c>
      <c r="D78" t="s">
        <v>11</v>
      </c>
      <c r="E78" t="s">
        <v>29</v>
      </c>
      <c r="F78" t="s">
        <v>21</v>
      </c>
      <c r="G78">
        <v>16</v>
      </c>
      <c r="H78" s="2">
        <v>2.08</v>
      </c>
      <c r="I78" s="2">
        <v>21.06</v>
      </c>
    </row>
    <row r="79" spans="1:9" x14ac:dyDescent="0.3">
      <c r="A79" s="1">
        <v>45329</v>
      </c>
      <c r="B79" t="s">
        <v>27</v>
      </c>
      <c r="C79" t="s">
        <v>17</v>
      </c>
      <c r="D79" t="s">
        <v>11</v>
      </c>
      <c r="E79" t="s">
        <v>23</v>
      </c>
      <c r="F79" t="s">
        <v>21</v>
      </c>
      <c r="G79">
        <v>16</v>
      </c>
      <c r="H79" s="2">
        <v>2.1</v>
      </c>
      <c r="I79" s="2">
        <v>13.26</v>
      </c>
    </row>
    <row r="80" spans="1:9" x14ac:dyDescent="0.3">
      <c r="A80" s="1">
        <v>45526</v>
      </c>
      <c r="B80" t="s">
        <v>14</v>
      </c>
      <c r="C80" t="s">
        <v>17</v>
      </c>
      <c r="D80" t="s">
        <v>11</v>
      </c>
      <c r="E80" t="s">
        <v>29</v>
      </c>
      <c r="F80" t="s">
        <v>13</v>
      </c>
      <c r="G80">
        <v>20</v>
      </c>
      <c r="H80" s="2">
        <v>1.82</v>
      </c>
      <c r="I80" s="2">
        <v>14.38</v>
      </c>
    </row>
    <row r="81" spans="1:9" x14ac:dyDescent="0.3">
      <c r="A81" s="1">
        <v>45606</v>
      </c>
      <c r="B81" t="s">
        <v>27</v>
      </c>
      <c r="C81" t="s">
        <v>17</v>
      </c>
      <c r="D81" t="s">
        <v>11</v>
      </c>
      <c r="E81" t="s">
        <v>16</v>
      </c>
      <c r="F81" t="s">
        <v>19</v>
      </c>
      <c r="G81">
        <v>14</v>
      </c>
      <c r="H81" s="2">
        <v>2.06</v>
      </c>
      <c r="I81" s="2">
        <v>6.03</v>
      </c>
    </row>
    <row r="82" spans="1:9" x14ac:dyDescent="0.3">
      <c r="A82" s="1">
        <v>45326</v>
      </c>
      <c r="B82" t="s">
        <v>9</v>
      </c>
      <c r="C82" t="s">
        <v>26</v>
      </c>
      <c r="D82" t="s">
        <v>11</v>
      </c>
      <c r="E82" t="s">
        <v>23</v>
      </c>
      <c r="F82" t="s">
        <v>25</v>
      </c>
      <c r="G82">
        <v>18</v>
      </c>
      <c r="H82" s="2">
        <v>1.98</v>
      </c>
      <c r="I82" s="2">
        <v>10.78</v>
      </c>
    </row>
    <row r="83" spans="1:9" x14ac:dyDescent="0.3">
      <c r="A83" s="1">
        <v>45310</v>
      </c>
      <c r="B83" t="s">
        <v>9</v>
      </c>
      <c r="C83" t="s">
        <v>31</v>
      </c>
      <c r="D83" t="s">
        <v>11</v>
      </c>
      <c r="E83" t="s">
        <v>20</v>
      </c>
      <c r="F83" t="s">
        <v>13</v>
      </c>
      <c r="G83">
        <v>20</v>
      </c>
      <c r="H83" s="2">
        <v>1.94</v>
      </c>
      <c r="I83" s="2">
        <v>4.8499999999999996</v>
      </c>
    </row>
    <row r="84" spans="1:9" x14ac:dyDescent="0.3">
      <c r="A84" s="1">
        <v>45628</v>
      </c>
      <c r="B84" t="s">
        <v>14</v>
      </c>
      <c r="C84" t="s">
        <v>26</v>
      </c>
      <c r="D84" t="s">
        <v>11</v>
      </c>
      <c r="E84" t="s">
        <v>29</v>
      </c>
      <c r="F84" t="s">
        <v>21</v>
      </c>
      <c r="G84">
        <v>16</v>
      </c>
      <c r="H84" s="2">
        <v>1.86</v>
      </c>
      <c r="I84" s="2">
        <v>19.760000000000002</v>
      </c>
    </row>
    <row r="85" spans="1:9" x14ac:dyDescent="0.3">
      <c r="A85" s="1">
        <v>45405</v>
      </c>
      <c r="B85" t="s">
        <v>27</v>
      </c>
      <c r="C85" t="s">
        <v>26</v>
      </c>
      <c r="D85" t="s">
        <v>11</v>
      </c>
      <c r="E85" t="s">
        <v>18</v>
      </c>
      <c r="F85" t="s">
        <v>19</v>
      </c>
      <c r="G85">
        <v>14</v>
      </c>
      <c r="H85" s="2">
        <v>2.06</v>
      </c>
      <c r="I85" s="2">
        <v>11.77</v>
      </c>
    </row>
    <row r="86" spans="1:9" x14ac:dyDescent="0.3">
      <c r="A86" s="1">
        <v>45334</v>
      </c>
      <c r="B86" t="s">
        <v>9</v>
      </c>
      <c r="C86" t="s">
        <v>17</v>
      </c>
      <c r="D86" t="s">
        <v>11</v>
      </c>
      <c r="E86" t="s">
        <v>23</v>
      </c>
      <c r="F86" t="s">
        <v>19</v>
      </c>
      <c r="G86">
        <v>14</v>
      </c>
      <c r="H86" s="2">
        <v>1.82</v>
      </c>
      <c r="I86" s="2">
        <v>12.35</v>
      </c>
    </row>
    <row r="87" spans="1:9" x14ac:dyDescent="0.3">
      <c r="A87" s="1">
        <v>45302</v>
      </c>
      <c r="B87" t="s">
        <v>28</v>
      </c>
      <c r="C87" t="s">
        <v>17</v>
      </c>
      <c r="D87" t="s">
        <v>11</v>
      </c>
      <c r="E87" t="s">
        <v>29</v>
      </c>
      <c r="F87" t="s">
        <v>19</v>
      </c>
      <c r="G87">
        <v>14</v>
      </c>
      <c r="H87" s="2">
        <v>1.94</v>
      </c>
      <c r="I87" s="2">
        <v>22.03</v>
      </c>
    </row>
    <row r="88" spans="1:9" x14ac:dyDescent="0.3">
      <c r="A88" s="1">
        <v>45449</v>
      </c>
      <c r="B88" t="s">
        <v>27</v>
      </c>
      <c r="C88" t="s">
        <v>31</v>
      </c>
      <c r="D88" t="s">
        <v>11</v>
      </c>
      <c r="E88" t="s">
        <v>23</v>
      </c>
      <c r="F88" t="s">
        <v>25</v>
      </c>
      <c r="G88">
        <v>18</v>
      </c>
      <c r="H88" s="2">
        <v>1.87</v>
      </c>
      <c r="I88" s="2">
        <v>11.22</v>
      </c>
    </row>
    <row r="89" spans="1:9" x14ac:dyDescent="0.3">
      <c r="A89" s="1">
        <v>45371</v>
      </c>
      <c r="B89" t="s">
        <v>27</v>
      </c>
      <c r="C89" t="s">
        <v>26</v>
      </c>
      <c r="D89" t="s">
        <v>11</v>
      </c>
      <c r="E89" t="s">
        <v>12</v>
      </c>
      <c r="F89" t="s">
        <v>19</v>
      </c>
      <c r="G89">
        <v>14</v>
      </c>
      <c r="H89" s="2">
        <v>1.82</v>
      </c>
      <c r="I89" s="2">
        <v>12.87</v>
      </c>
    </row>
    <row r="90" spans="1:9" x14ac:dyDescent="0.3">
      <c r="A90" s="1">
        <v>45297</v>
      </c>
      <c r="B90" t="s">
        <v>9</v>
      </c>
      <c r="C90" t="s">
        <v>17</v>
      </c>
      <c r="D90" t="s">
        <v>11</v>
      </c>
      <c r="E90" t="s">
        <v>30</v>
      </c>
      <c r="F90" t="s">
        <v>13</v>
      </c>
      <c r="G90">
        <v>20</v>
      </c>
      <c r="H90" s="2">
        <v>1.79</v>
      </c>
      <c r="I90" s="2">
        <v>11.1</v>
      </c>
    </row>
    <row r="91" spans="1:9" x14ac:dyDescent="0.3">
      <c r="A91" s="1">
        <v>45346</v>
      </c>
      <c r="B91" t="s">
        <v>27</v>
      </c>
      <c r="C91" t="s">
        <v>26</v>
      </c>
      <c r="D91" t="s">
        <v>11</v>
      </c>
      <c r="E91" t="s">
        <v>30</v>
      </c>
      <c r="F91" t="s">
        <v>21</v>
      </c>
      <c r="G91">
        <v>16</v>
      </c>
      <c r="H91" s="2">
        <v>1.84</v>
      </c>
      <c r="I91" s="2">
        <v>13.92</v>
      </c>
    </row>
    <row r="92" spans="1:9" x14ac:dyDescent="0.3">
      <c r="A92" s="1">
        <v>45566</v>
      </c>
      <c r="B92" t="s">
        <v>9</v>
      </c>
      <c r="C92" t="s">
        <v>31</v>
      </c>
      <c r="D92" t="s">
        <v>11</v>
      </c>
      <c r="E92" t="s">
        <v>29</v>
      </c>
      <c r="F92" t="s">
        <v>19</v>
      </c>
      <c r="G92">
        <v>14</v>
      </c>
      <c r="H92" s="2">
        <v>1.98</v>
      </c>
      <c r="I92" s="2">
        <v>23.05</v>
      </c>
    </row>
    <row r="93" spans="1:9" x14ac:dyDescent="0.3">
      <c r="A93" s="1">
        <v>45614</v>
      </c>
      <c r="B93" t="s">
        <v>9</v>
      </c>
      <c r="C93" t="s">
        <v>26</v>
      </c>
      <c r="D93" t="s">
        <v>11</v>
      </c>
      <c r="E93" t="s">
        <v>12</v>
      </c>
      <c r="F93" t="s">
        <v>19</v>
      </c>
      <c r="G93">
        <v>14</v>
      </c>
      <c r="H93" s="2">
        <v>1.86</v>
      </c>
      <c r="I93" s="2">
        <v>13.29</v>
      </c>
    </row>
    <row r="94" spans="1:9" x14ac:dyDescent="0.3">
      <c r="A94" s="1">
        <v>45589</v>
      </c>
      <c r="B94" t="s">
        <v>27</v>
      </c>
      <c r="C94" t="s">
        <v>24</v>
      </c>
      <c r="D94" t="s">
        <v>11</v>
      </c>
      <c r="E94" t="s">
        <v>18</v>
      </c>
      <c r="F94" t="s">
        <v>25</v>
      </c>
      <c r="G94">
        <v>18</v>
      </c>
      <c r="H94" s="2">
        <v>1.99</v>
      </c>
      <c r="I94" s="2">
        <v>8.07</v>
      </c>
    </row>
    <row r="95" spans="1:9" x14ac:dyDescent="0.3">
      <c r="A95" s="1">
        <v>45487</v>
      </c>
      <c r="B95" t="s">
        <v>28</v>
      </c>
      <c r="C95" t="s">
        <v>31</v>
      </c>
      <c r="D95" t="s">
        <v>11</v>
      </c>
      <c r="E95" t="s">
        <v>18</v>
      </c>
      <c r="F95" t="s">
        <v>13</v>
      </c>
      <c r="G95">
        <v>20</v>
      </c>
      <c r="H95" s="2">
        <v>1.91</v>
      </c>
      <c r="I95" s="2">
        <v>7.45</v>
      </c>
    </row>
    <row r="96" spans="1:9" x14ac:dyDescent="0.3">
      <c r="A96" s="1">
        <v>45501</v>
      </c>
      <c r="B96" t="s">
        <v>22</v>
      </c>
      <c r="C96" t="s">
        <v>31</v>
      </c>
      <c r="D96" t="s">
        <v>11</v>
      </c>
      <c r="E96" t="s">
        <v>23</v>
      </c>
      <c r="F96" t="s">
        <v>25</v>
      </c>
      <c r="G96">
        <v>18</v>
      </c>
      <c r="H96" s="2">
        <v>2.0099999999999998</v>
      </c>
      <c r="I96" s="2">
        <v>10.72</v>
      </c>
    </row>
    <row r="97" spans="1:9" x14ac:dyDescent="0.3">
      <c r="A97" s="1">
        <v>45407</v>
      </c>
      <c r="B97" t="s">
        <v>27</v>
      </c>
      <c r="C97" t="s">
        <v>10</v>
      </c>
      <c r="D97" t="s">
        <v>11</v>
      </c>
      <c r="E97" t="s">
        <v>30</v>
      </c>
      <c r="F97" t="s">
        <v>19</v>
      </c>
      <c r="G97">
        <v>14</v>
      </c>
      <c r="H97" s="2">
        <v>1.93</v>
      </c>
      <c r="I97" s="2">
        <v>15.16</v>
      </c>
    </row>
    <row r="98" spans="1:9" x14ac:dyDescent="0.3">
      <c r="A98" s="1">
        <v>45565</v>
      </c>
      <c r="B98" t="s">
        <v>28</v>
      </c>
      <c r="C98" t="s">
        <v>31</v>
      </c>
      <c r="D98" t="s">
        <v>11</v>
      </c>
      <c r="E98" t="s">
        <v>29</v>
      </c>
      <c r="F98" t="s">
        <v>13</v>
      </c>
      <c r="G98">
        <v>20</v>
      </c>
      <c r="H98" s="2">
        <v>1.9</v>
      </c>
      <c r="I98" s="2">
        <v>15.58</v>
      </c>
    </row>
    <row r="99" spans="1:9" x14ac:dyDescent="0.3">
      <c r="A99" s="1">
        <v>45523</v>
      </c>
      <c r="B99" t="s">
        <v>22</v>
      </c>
      <c r="C99" t="s">
        <v>31</v>
      </c>
      <c r="D99" t="s">
        <v>11</v>
      </c>
      <c r="E99" t="s">
        <v>29</v>
      </c>
      <c r="F99" t="s">
        <v>19</v>
      </c>
      <c r="G99">
        <v>14</v>
      </c>
      <c r="H99" s="2">
        <v>1.9</v>
      </c>
      <c r="I99" s="2">
        <v>22.26</v>
      </c>
    </row>
    <row r="100" spans="1:9" x14ac:dyDescent="0.3">
      <c r="A100" s="1">
        <v>45641</v>
      </c>
      <c r="B100" t="s">
        <v>28</v>
      </c>
      <c r="C100" t="s">
        <v>24</v>
      </c>
      <c r="D100" t="s">
        <v>11</v>
      </c>
      <c r="E100" t="s">
        <v>12</v>
      </c>
      <c r="F100" t="s">
        <v>25</v>
      </c>
      <c r="G100">
        <v>18</v>
      </c>
      <c r="H100" s="2">
        <v>2.0699999999999998</v>
      </c>
      <c r="I100" s="2">
        <v>9.66</v>
      </c>
    </row>
    <row r="101" spans="1:9" x14ac:dyDescent="0.3">
      <c r="A101" s="1">
        <v>45306</v>
      </c>
      <c r="B101" t="s">
        <v>14</v>
      </c>
      <c r="C101" t="s">
        <v>17</v>
      </c>
      <c r="D101" t="s">
        <v>11</v>
      </c>
      <c r="E101" t="s">
        <v>16</v>
      </c>
      <c r="F101" t="s">
        <v>13</v>
      </c>
      <c r="G101">
        <v>20</v>
      </c>
      <c r="H101" s="2">
        <v>1.89</v>
      </c>
      <c r="I101" s="2">
        <v>5.01</v>
      </c>
    </row>
    <row r="102" spans="1:9" x14ac:dyDescent="0.3">
      <c r="A102" s="1">
        <v>45335</v>
      </c>
      <c r="B102" t="s">
        <v>28</v>
      </c>
      <c r="C102" t="s">
        <v>24</v>
      </c>
      <c r="D102" t="s">
        <v>11</v>
      </c>
      <c r="E102" t="s">
        <v>30</v>
      </c>
      <c r="F102" t="s">
        <v>19</v>
      </c>
      <c r="G102">
        <v>14</v>
      </c>
      <c r="H102" s="2">
        <v>1.89</v>
      </c>
      <c r="I102" s="2">
        <v>16.88</v>
      </c>
    </row>
    <row r="103" spans="1:9" x14ac:dyDescent="0.3">
      <c r="A103" s="1">
        <v>45611</v>
      </c>
      <c r="B103" t="s">
        <v>9</v>
      </c>
      <c r="C103" t="s">
        <v>26</v>
      </c>
      <c r="D103" t="s">
        <v>11</v>
      </c>
      <c r="E103" t="s">
        <v>30</v>
      </c>
      <c r="F103" t="s">
        <v>25</v>
      </c>
      <c r="G103">
        <v>18</v>
      </c>
      <c r="H103" s="2">
        <v>1.82</v>
      </c>
      <c r="I103" s="2">
        <v>12.34</v>
      </c>
    </row>
    <row r="104" spans="1:9" x14ac:dyDescent="0.3">
      <c r="A104" s="1">
        <v>45430</v>
      </c>
      <c r="B104" t="s">
        <v>14</v>
      </c>
      <c r="C104" t="s">
        <v>15</v>
      </c>
      <c r="D104" t="s">
        <v>11</v>
      </c>
      <c r="E104" t="s">
        <v>12</v>
      </c>
      <c r="F104" t="s">
        <v>13</v>
      </c>
      <c r="G104">
        <v>20</v>
      </c>
      <c r="H104" s="2">
        <v>1.79</v>
      </c>
      <c r="I104" s="2">
        <v>7.97</v>
      </c>
    </row>
    <row r="105" spans="1:9" x14ac:dyDescent="0.3">
      <c r="A105" s="1">
        <v>45642</v>
      </c>
      <c r="B105" t="s">
        <v>28</v>
      </c>
      <c r="C105" t="s">
        <v>31</v>
      </c>
      <c r="D105" t="s">
        <v>11</v>
      </c>
      <c r="E105" t="s">
        <v>20</v>
      </c>
      <c r="F105" t="s">
        <v>21</v>
      </c>
      <c r="G105">
        <v>16</v>
      </c>
      <c r="H105" s="2">
        <v>2.0099999999999998</v>
      </c>
      <c r="I105" s="2">
        <v>4.9000000000000004</v>
      </c>
    </row>
    <row r="106" spans="1:9" x14ac:dyDescent="0.3">
      <c r="A106" s="1">
        <v>45488</v>
      </c>
      <c r="B106" t="s">
        <v>14</v>
      </c>
      <c r="C106" t="s">
        <v>15</v>
      </c>
      <c r="D106" t="s">
        <v>11</v>
      </c>
      <c r="E106" t="s">
        <v>12</v>
      </c>
      <c r="F106" t="s">
        <v>25</v>
      </c>
      <c r="G106">
        <v>18</v>
      </c>
      <c r="H106" s="2">
        <v>2</v>
      </c>
      <c r="I106" s="2">
        <v>9.11</v>
      </c>
    </row>
    <row r="107" spans="1:9" x14ac:dyDescent="0.3">
      <c r="A107" s="1">
        <v>45390</v>
      </c>
      <c r="B107" t="s">
        <v>27</v>
      </c>
      <c r="C107" t="s">
        <v>31</v>
      </c>
      <c r="D107" t="s">
        <v>11</v>
      </c>
      <c r="E107" t="s">
        <v>29</v>
      </c>
      <c r="F107" t="s">
        <v>13</v>
      </c>
      <c r="G107">
        <v>20</v>
      </c>
      <c r="H107" s="2">
        <v>1.9</v>
      </c>
      <c r="I107" s="2">
        <v>15.96</v>
      </c>
    </row>
    <row r="108" spans="1:9" x14ac:dyDescent="0.3">
      <c r="A108" s="1">
        <v>45486</v>
      </c>
      <c r="B108" t="s">
        <v>28</v>
      </c>
      <c r="C108" t="s">
        <v>31</v>
      </c>
      <c r="D108" t="s">
        <v>11</v>
      </c>
      <c r="E108" t="s">
        <v>30</v>
      </c>
      <c r="F108" t="s">
        <v>13</v>
      </c>
      <c r="G108">
        <v>20</v>
      </c>
      <c r="H108" s="2">
        <v>1.97</v>
      </c>
      <c r="I108" s="2">
        <v>12.31</v>
      </c>
    </row>
    <row r="109" spans="1:9" x14ac:dyDescent="0.3">
      <c r="A109" s="1">
        <v>45458</v>
      </c>
      <c r="B109" t="s">
        <v>28</v>
      </c>
      <c r="C109" t="s">
        <v>26</v>
      </c>
      <c r="D109" t="s">
        <v>11</v>
      </c>
      <c r="E109" t="s">
        <v>20</v>
      </c>
      <c r="F109" t="s">
        <v>21</v>
      </c>
      <c r="G109">
        <v>16</v>
      </c>
      <c r="H109" s="2">
        <v>1.86</v>
      </c>
      <c r="I109" s="2">
        <v>4.7699999999999996</v>
      </c>
    </row>
    <row r="110" spans="1:9" x14ac:dyDescent="0.3">
      <c r="A110" s="1">
        <v>45440</v>
      </c>
      <c r="B110" t="s">
        <v>9</v>
      </c>
      <c r="C110" t="s">
        <v>26</v>
      </c>
      <c r="D110" t="s">
        <v>11</v>
      </c>
      <c r="E110" t="s">
        <v>18</v>
      </c>
      <c r="F110" t="s">
        <v>25</v>
      </c>
      <c r="G110">
        <v>18</v>
      </c>
      <c r="H110" s="2">
        <v>1.87</v>
      </c>
      <c r="I110" s="2">
        <v>8.73</v>
      </c>
    </row>
    <row r="111" spans="1:9" x14ac:dyDescent="0.3">
      <c r="A111" s="1">
        <v>45446</v>
      </c>
      <c r="B111" t="s">
        <v>22</v>
      </c>
      <c r="C111" t="s">
        <v>10</v>
      </c>
      <c r="D111" t="s">
        <v>11</v>
      </c>
      <c r="E111" t="s">
        <v>16</v>
      </c>
      <c r="F111" t="s">
        <v>25</v>
      </c>
      <c r="G111">
        <v>18</v>
      </c>
      <c r="H111" s="2">
        <v>2.0099999999999998</v>
      </c>
      <c r="I111" s="2">
        <v>5.14</v>
      </c>
    </row>
    <row r="112" spans="1:9" x14ac:dyDescent="0.3">
      <c r="A112" s="1">
        <v>45630</v>
      </c>
      <c r="B112" t="s">
        <v>22</v>
      </c>
      <c r="C112" t="s">
        <v>24</v>
      </c>
      <c r="D112" t="s">
        <v>11</v>
      </c>
      <c r="E112" t="s">
        <v>23</v>
      </c>
      <c r="F112" t="s">
        <v>19</v>
      </c>
      <c r="G112">
        <v>14</v>
      </c>
      <c r="H112" s="2">
        <v>1.84</v>
      </c>
      <c r="I112" s="2">
        <v>12.88</v>
      </c>
    </row>
    <row r="113" spans="1:9" x14ac:dyDescent="0.3">
      <c r="A113" s="1">
        <v>45298</v>
      </c>
      <c r="B113" t="s">
        <v>9</v>
      </c>
      <c r="C113" t="s">
        <v>10</v>
      </c>
      <c r="D113" t="s">
        <v>11</v>
      </c>
      <c r="E113" t="s">
        <v>29</v>
      </c>
      <c r="F113" t="s">
        <v>19</v>
      </c>
      <c r="G113">
        <v>14</v>
      </c>
      <c r="H113" s="2">
        <v>2.04</v>
      </c>
      <c r="I113" s="2">
        <v>22</v>
      </c>
    </row>
    <row r="114" spans="1:9" x14ac:dyDescent="0.3">
      <c r="A114" s="1">
        <v>45547</v>
      </c>
      <c r="B114" t="s">
        <v>22</v>
      </c>
      <c r="C114" t="s">
        <v>15</v>
      </c>
      <c r="D114" t="s">
        <v>11</v>
      </c>
      <c r="E114" t="s">
        <v>29</v>
      </c>
      <c r="F114" t="s">
        <v>25</v>
      </c>
      <c r="G114">
        <v>18</v>
      </c>
      <c r="H114" s="2">
        <v>1.98</v>
      </c>
      <c r="I114" s="2">
        <v>17.82</v>
      </c>
    </row>
    <row r="115" spans="1:9" x14ac:dyDescent="0.3">
      <c r="A115" s="1">
        <v>45341</v>
      </c>
      <c r="B115" t="s">
        <v>9</v>
      </c>
      <c r="C115" t="s">
        <v>17</v>
      </c>
      <c r="D115" t="s">
        <v>11</v>
      </c>
      <c r="E115" t="s">
        <v>18</v>
      </c>
      <c r="F115" t="s">
        <v>19</v>
      </c>
      <c r="G115">
        <v>14</v>
      </c>
      <c r="H115" s="2">
        <v>2.0499999999999998</v>
      </c>
      <c r="I115" s="2">
        <v>9.81</v>
      </c>
    </row>
    <row r="116" spans="1:9" x14ac:dyDescent="0.3">
      <c r="A116" s="1">
        <v>45600</v>
      </c>
      <c r="B116" t="s">
        <v>14</v>
      </c>
      <c r="C116" t="s">
        <v>15</v>
      </c>
      <c r="D116" t="s">
        <v>11</v>
      </c>
      <c r="E116" t="s">
        <v>23</v>
      </c>
      <c r="F116" t="s">
        <v>25</v>
      </c>
      <c r="G116">
        <v>18</v>
      </c>
      <c r="H116" s="2">
        <v>1.95</v>
      </c>
      <c r="I116" s="2">
        <v>11.16</v>
      </c>
    </row>
    <row r="117" spans="1:9" x14ac:dyDescent="0.3">
      <c r="A117" s="1">
        <v>45446</v>
      </c>
      <c r="B117" t="s">
        <v>9</v>
      </c>
      <c r="C117" t="s">
        <v>24</v>
      </c>
      <c r="D117" t="s">
        <v>11</v>
      </c>
      <c r="E117" t="s">
        <v>16</v>
      </c>
      <c r="F117" t="s">
        <v>21</v>
      </c>
      <c r="G117">
        <v>16</v>
      </c>
      <c r="H117" s="2">
        <v>1.93</v>
      </c>
      <c r="I117" s="2">
        <v>5.19</v>
      </c>
    </row>
    <row r="118" spans="1:9" x14ac:dyDescent="0.3">
      <c r="A118" s="1">
        <v>45566</v>
      </c>
      <c r="B118" t="s">
        <v>9</v>
      </c>
      <c r="C118" t="s">
        <v>31</v>
      </c>
      <c r="D118" t="s">
        <v>11</v>
      </c>
      <c r="E118" t="s">
        <v>29</v>
      </c>
      <c r="F118" t="s">
        <v>21</v>
      </c>
      <c r="G118">
        <v>16</v>
      </c>
      <c r="H118" s="2">
        <v>2.0699999999999998</v>
      </c>
      <c r="I118" s="2">
        <v>19.41</v>
      </c>
    </row>
    <row r="119" spans="1:9" x14ac:dyDescent="0.3">
      <c r="A119" s="1">
        <v>45310</v>
      </c>
      <c r="B119" t="s">
        <v>22</v>
      </c>
      <c r="C119" t="s">
        <v>17</v>
      </c>
      <c r="D119" t="s">
        <v>11</v>
      </c>
      <c r="E119" t="s">
        <v>16</v>
      </c>
      <c r="F119" t="s">
        <v>21</v>
      </c>
      <c r="G119">
        <v>16</v>
      </c>
      <c r="H119" s="2">
        <v>1.76</v>
      </c>
      <c r="I119" s="2">
        <v>4.29</v>
      </c>
    </row>
    <row r="120" spans="1:9" x14ac:dyDescent="0.3">
      <c r="A120" s="1">
        <v>45476</v>
      </c>
      <c r="B120" t="s">
        <v>28</v>
      </c>
      <c r="C120" t="s">
        <v>31</v>
      </c>
      <c r="D120" t="s">
        <v>11</v>
      </c>
      <c r="E120" t="s">
        <v>12</v>
      </c>
      <c r="F120" t="s">
        <v>19</v>
      </c>
      <c r="G120">
        <v>14</v>
      </c>
      <c r="H120" s="2">
        <v>2.0699999999999998</v>
      </c>
      <c r="I120" s="2">
        <v>12.12</v>
      </c>
    </row>
    <row r="121" spans="1:9" x14ac:dyDescent="0.3">
      <c r="A121" s="1">
        <v>45528</v>
      </c>
      <c r="B121" t="s">
        <v>9</v>
      </c>
      <c r="C121" t="s">
        <v>31</v>
      </c>
      <c r="D121" t="s">
        <v>11</v>
      </c>
      <c r="E121" t="s">
        <v>20</v>
      </c>
      <c r="F121" t="s">
        <v>25</v>
      </c>
      <c r="G121">
        <v>18</v>
      </c>
      <c r="H121" s="2">
        <v>1.93</v>
      </c>
      <c r="I121" s="2">
        <v>4.6100000000000003</v>
      </c>
    </row>
    <row r="122" spans="1:9" x14ac:dyDescent="0.3">
      <c r="A122" s="1">
        <v>45339</v>
      </c>
      <c r="B122" t="s">
        <v>14</v>
      </c>
      <c r="C122" t="s">
        <v>24</v>
      </c>
      <c r="D122" t="s">
        <v>11</v>
      </c>
      <c r="E122" t="s">
        <v>30</v>
      </c>
      <c r="F122" t="s">
        <v>13</v>
      </c>
      <c r="G122">
        <v>20</v>
      </c>
      <c r="H122" s="2">
        <v>1.88</v>
      </c>
      <c r="I122" s="2">
        <v>10.43</v>
      </c>
    </row>
    <row r="123" spans="1:9" x14ac:dyDescent="0.3">
      <c r="A123" s="1">
        <v>45442</v>
      </c>
      <c r="B123" t="s">
        <v>27</v>
      </c>
      <c r="C123" t="s">
        <v>10</v>
      </c>
      <c r="D123" t="s">
        <v>11</v>
      </c>
      <c r="E123" t="s">
        <v>18</v>
      </c>
      <c r="F123" t="s">
        <v>21</v>
      </c>
      <c r="G123">
        <v>16</v>
      </c>
      <c r="H123" s="2">
        <v>1.87</v>
      </c>
      <c r="I123" s="2">
        <v>8.8800000000000008</v>
      </c>
    </row>
    <row r="124" spans="1:9" x14ac:dyDescent="0.3">
      <c r="A124" s="1">
        <v>45321</v>
      </c>
      <c r="B124" t="s">
        <v>27</v>
      </c>
      <c r="C124" t="s">
        <v>26</v>
      </c>
      <c r="D124" t="s">
        <v>11</v>
      </c>
      <c r="E124" t="s">
        <v>12</v>
      </c>
      <c r="F124" t="s">
        <v>25</v>
      </c>
      <c r="G124">
        <v>18</v>
      </c>
      <c r="H124" s="2">
        <v>1.81</v>
      </c>
      <c r="I124" s="2">
        <v>9.35</v>
      </c>
    </row>
    <row r="125" spans="1:9" x14ac:dyDescent="0.3">
      <c r="A125" s="1">
        <v>45645</v>
      </c>
      <c r="B125" t="s">
        <v>27</v>
      </c>
      <c r="C125" t="s">
        <v>31</v>
      </c>
      <c r="D125" t="s">
        <v>11</v>
      </c>
      <c r="E125" t="s">
        <v>29</v>
      </c>
      <c r="F125" t="s">
        <v>21</v>
      </c>
      <c r="G125">
        <v>16</v>
      </c>
      <c r="H125" s="2">
        <v>1.76</v>
      </c>
      <c r="I125" s="2">
        <v>18.59</v>
      </c>
    </row>
    <row r="126" spans="1:9" x14ac:dyDescent="0.3">
      <c r="A126" s="1">
        <v>45599</v>
      </c>
      <c r="B126" t="s">
        <v>27</v>
      </c>
      <c r="C126" t="s">
        <v>10</v>
      </c>
      <c r="D126" t="s">
        <v>11</v>
      </c>
      <c r="E126" t="s">
        <v>18</v>
      </c>
      <c r="F126" t="s">
        <v>25</v>
      </c>
      <c r="G126">
        <v>18</v>
      </c>
      <c r="H126" s="2">
        <v>1.91</v>
      </c>
      <c r="I126" s="2">
        <v>7.53</v>
      </c>
    </row>
    <row r="127" spans="1:9" x14ac:dyDescent="0.3">
      <c r="A127" s="1">
        <v>45372</v>
      </c>
      <c r="B127" t="s">
        <v>22</v>
      </c>
      <c r="C127" t="s">
        <v>26</v>
      </c>
      <c r="D127" t="s">
        <v>11</v>
      </c>
      <c r="E127" t="s">
        <v>30</v>
      </c>
      <c r="F127" t="s">
        <v>25</v>
      </c>
      <c r="G127">
        <v>18</v>
      </c>
      <c r="H127" s="2">
        <v>1.93</v>
      </c>
      <c r="I127" s="2">
        <v>11.69</v>
      </c>
    </row>
    <row r="128" spans="1:9" x14ac:dyDescent="0.3">
      <c r="A128" s="1">
        <v>45385</v>
      </c>
      <c r="B128" t="s">
        <v>27</v>
      </c>
      <c r="C128" t="s">
        <v>26</v>
      </c>
      <c r="D128" t="s">
        <v>11</v>
      </c>
      <c r="E128" t="s">
        <v>30</v>
      </c>
      <c r="F128" t="s">
        <v>25</v>
      </c>
      <c r="G128">
        <v>18</v>
      </c>
      <c r="H128" s="2">
        <v>1.9</v>
      </c>
      <c r="I128" s="2">
        <v>12.03</v>
      </c>
    </row>
    <row r="129" spans="1:9" x14ac:dyDescent="0.3">
      <c r="A129" s="1">
        <v>45466</v>
      </c>
      <c r="B129" t="s">
        <v>14</v>
      </c>
      <c r="C129" t="s">
        <v>10</v>
      </c>
      <c r="D129" t="s">
        <v>11</v>
      </c>
      <c r="E129" t="s">
        <v>29</v>
      </c>
      <c r="F129" t="s">
        <v>13</v>
      </c>
      <c r="G129">
        <v>20</v>
      </c>
      <c r="H129" s="2">
        <v>1.78</v>
      </c>
      <c r="I129" s="2">
        <v>15.04</v>
      </c>
    </row>
    <row r="130" spans="1:9" x14ac:dyDescent="0.3">
      <c r="A130" s="1">
        <v>45563</v>
      </c>
      <c r="B130" t="s">
        <v>9</v>
      </c>
      <c r="C130" t="s">
        <v>24</v>
      </c>
      <c r="D130" t="s">
        <v>11</v>
      </c>
      <c r="E130" t="s">
        <v>30</v>
      </c>
      <c r="F130" t="s">
        <v>25</v>
      </c>
      <c r="G130">
        <v>18</v>
      </c>
      <c r="H130" s="2">
        <v>1.8</v>
      </c>
      <c r="I130" s="2">
        <v>10.9</v>
      </c>
    </row>
    <row r="131" spans="1:9" x14ac:dyDescent="0.3">
      <c r="A131" s="1">
        <v>45647</v>
      </c>
      <c r="B131" t="s">
        <v>22</v>
      </c>
      <c r="C131" t="s">
        <v>15</v>
      </c>
      <c r="D131" t="s">
        <v>11</v>
      </c>
      <c r="E131" t="s">
        <v>23</v>
      </c>
      <c r="F131" t="s">
        <v>13</v>
      </c>
      <c r="G131">
        <v>20</v>
      </c>
      <c r="H131" s="2">
        <v>1.82</v>
      </c>
      <c r="I131" s="2">
        <v>8.4600000000000009</v>
      </c>
    </row>
    <row r="132" spans="1:9" x14ac:dyDescent="0.3">
      <c r="A132" s="1">
        <v>45404</v>
      </c>
      <c r="B132" t="s">
        <v>22</v>
      </c>
      <c r="C132" t="s">
        <v>24</v>
      </c>
      <c r="D132" t="s">
        <v>11</v>
      </c>
      <c r="E132" t="s">
        <v>18</v>
      </c>
      <c r="F132" t="s">
        <v>13</v>
      </c>
      <c r="G132">
        <v>20</v>
      </c>
      <c r="H132" s="2">
        <v>1.94</v>
      </c>
      <c r="I132" s="2">
        <v>6.98</v>
      </c>
    </row>
    <row r="133" spans="1:9" x14ac:dyDescent="0.3">
      <c r="A133" s="1">
        <v>45507</v>
      </c>
      <c r="B133" t="s">
        <v>9</v>
      </c>
      <c r="C133" t="s">
        <v>24</v>
      </c>
      <c r="D133" t="s">
        <v>11</v>
      </c>
      <c r="E133" t="s">
        <v>16</v>
      </c>
      <c r="F133" t="s">
        <v>13</v>
      </c>
      <c r="G133">
        <v>20</v>
      </c>
      <c r="H133" s="2">
        <v>1.75</v>
      </c>
      <c r="I133" s="2">
        <v>3.76</v>
      </c>
    </row>
    <row r="134" spans="1:9" x14ac:dyDescent="0.3">
      <c r="A134" s="1">
        <v>45329</v>
      </c>
      <c r="B134" t="s">
        <v>28</v>
      </c>
      <c r="C134" t="s">
        <v>17</v>
      </c>
      <c r="D134" t="s">
        <v>11</v>
      </c>
      <c r="E134" t="s">
        <v>16</v>
      </c>
      <c r="F134" t="s">
        <v>21</v>
      </c>
      <c r="G134">
        <v>16</v>
      </c>
      <c r="H134" s="2">
        <v>2.02</v>
      </c>
      <c r="I134" s="2">
        <v>5.81</v>
      </c>
    </row>
    <row r="135" spans="1:9" x14ac:dyDescent="0.3">
      <c r="A135" s="1">
        <v>45318</v>
      </c>
      <c r="B135" t="s">
        <v>14</v>
      </c>
      <c r="C135" t="s">
        <v>24</v>
      </c>
      <c r="D135" t="s">
        <v>11</v>
      </c>
      <c r="E135" t="s">
        <v>16</v>
      </c>
      <c r="F135" t="s">
        <v>25</v>
      </c>
      <c r="G135">
        <v>18</v>
      </c>
      <c r="H135" s="2">
        <v>1.91</v>
      </c>
      <c r="I135" s="2">
        <v>4.3499999999999996</v>
      </c>
    </row>
    <row r="136" spans="1:9" x14ac:dyDescent="0.3">
      <c r="A136" s="1">
        <v>45295</v>
      </c>
      <c r="B136" t="s">
        <v>9</v>
      </c>
      <c r="C136" t="s">
        <v>10</v>
      </c>
      <c r="D136" t="s">
        <v>11</v>
      </c>
      <c r="E136" t="s">
        <v>23</v>
      </c>
      <c r="F136" t="s">
        <v>19</v>
      </c>
      <c r="G136">
        <v>14</v>
      </c>
      <c r="H136" s="2">
        <v>2.06</v>
      </c>
      <c r="I136" s="2">
        <v>13.54</v>
      </c>
    </row>
    <row r="137" spans="1:9" x14ac:dyDescent="0.3">
      <c r="A137" s="1">
        <v>45441</v>
      </c>
      <c r="B137" t="s">
        <v>22</v>
      </c>
      <c r="C137" t="s">
        <v>17</v>
      </c>
      <c r="D137" t="s">
        <v>11</v>
      </c>
      <c r="E137" t="s">
        <v>23</v>
      </c>
      <c r="F137" t="s">
        <v>25</v>
      </c>
      <c r="G137">
        <v>18</v>
      </c>
      <c r="H137" s="2">
        <v>2.0099999999999998</v>
      </c>
      <c r="I137" s="2">
        <v>10.5</v>
      </c>
    </row>
    <row r="138" spans="1:9" x14ac:dyDescent="0.3">
      <c r="A138" s="1">
        <v>45332</v>
      </c>
      <c r="B138" t="s">
        <v>28</v>
      </c>
      <c r="C138" t="s">
        <v>26</v>
      </c>
      <c r="D138" t="s">
        <v>11</v>
      </c>
      <c r="E138" t="s">
        <v>18</v>
      </c>
      <c r="F138" t="s">
        <v>19</v>
      </c>
      <c r="G138">
        <v>14</v>
      </c>
      <c r="H138" s="2">
        <v>1.76</v>
      </c>
      <c r="I138" s="2">
        <v>8.42</v>
      </c>
    </row>
    <row r="139" spans="1:9" x14ac:dyDescent="0.3">
      <c r="A139" s="1">
        <v>45515</v>
      </c>
      <c r="B139" t="s">
        <v>14</v>
      </c>
      <c r="C139" t="s">
        <v>17</v>
      </c>
      <c r="D139" t="s">
        <v>11</v>
      </c>
      <c r="E139" t="s">
        <v>18</v>
      </c>
      <c r="F139" t="s">
        <v>25</v>
      </c>
      <c r="G139">
        <v>18</v>
      </c>
      <c r="H139" s="2">
        <v>1.9</v>
      </c>
      <c r="I139" s="2">
        <v>6.86</v>
      </c>
    </row>
    <row r="140" spans="1:9" x14ac:dyDescent="0.3">
      <c r="A140" s="1">
        <v>45424</v>
      </c>
      <c r="B140" t="s">
        <v>9</v>
      </c>
      <c r="C140" t="s">
        <v>17</v>
      </c>
      <c r="D140" t="s">
        <v>11</v>
      </c>
      <c r="E140" t="s">
        <v>12</v>
      </c>
      <c r="F140" t="s">
        <v>13</v>
      </c>
      <c r="G140">
        <v>20</v>
      </c>
      <c r="H140" s="2">
        <v>1.78</v>
      </c>
      <c r="I140" s="2">
        <v>8.5399999999999991</v>
      </c>
    </row>
    <row r="141" spans="1:9" x14ac:dyDescent="0.3">
      <c r="A141" s="1">
        <v>45542</v>
      </c>
      <c r="B141" t="s">
        <v>27</v>
      </c>
      <c r="C141" t="s">
        <v>10</v>
      </c>
      <c r="D141" t="s">
        <v>11</v>
      </c>
      <c r="E141" t="s">
        <v>16</v>
      </c>
      <c r="F141" t="s">
        <v>25</v>
      </c>
      <c r="G141">
        <v>18</v>
      </c>
      <c r="H141" s="2">
        <v>2.02</v>
      </c>
      <c r="I141" s="2">
        <v>5.16</v>
      </c>
    </row>
    <row r="142" spans="1:9" x14ac:dyDescent="0.3">
      <c r="A142" s="1">
        <v>45458</v>
      </c>
      <c r="B142" t="s">
        <v>14</v>
      </c>
      <c r="C142" t="s">
        <v>17</v>
      </c>
      <c r="D142" t="s">
        <v>11</v>
      </c>
      <c r="E142" t="s">
        <v>20</v>
      </c>
      <c r="F142" t="s">
        <v>21</v>
      </c>
      <c r="G142">
        <v>16</v>
      </c>
      <c r="H142" s="2">
        <v>1.99</v>
      </c>
      <c r="I142" s="2">
        <v>5.0999999999999996</v>
      </c>
    </row>
    <row r="143" spans="1:9" x14ac:dyDescent="0.3">
      <c r="A143" s="1">
        <v>45334</v>
      </c>
      <c r="B143" t="s">
        <v>22</v>
      </c>
      <c r="C143" t="s">
        <v>15</v>
      </c>
      <c r="D143" t="s">
        <v>11</v>
      </c>
      <c r="E143" t="s">
        <v>20</v>
      </c>
      <c r="F143" t="s">
        <v>21</v>
      </c>
      <c r="G143">
        <v>16</v>
      </c>
      <c r="H143" s="2">
        <v>1.94</v>
      </c>
      <c r="I143" s="2">
        <v>5.33</v>
      </c>
    </row>
    <row r="144" spans="1:9" x14ac:dyDescent="0.3">
      <c r="A144" s="1">
        <v>45417</v>
      </c>
      <c r="B144" t="s">
        <v>28</v>
      </c>
      <c r="C144" t="s">
        <v>10</v>
      </c>
      <c r="D144" t="s">
        <v>11</v>
      </c>
      <c r="E144" t="s">
        <v>16</v>
      </c>
      <c r="F144" t="s">
        <v>25</v>
      </c>
      <c r="G144">
        <v>18</v>
      </c>
      <c r="H144" s="2">
        <v>2.0699999999999998</v>
      </c>
      <c r="I144" s="2">
        <v>4.9400000000000004</v>
      </c>
    </row>
    <row r="145" spans="1:9" x14ac:dyDescent="0.3">
      <c r="A145" s="1">
        <v>45608</v>
      </c>
      <c r="B145" t="s">
        <v>22</v>
      </c>
      <c r="C145" t="s">
        <v>26</v>
      </c>
      <c r="D145" t="s">
        <v>11</v>
      </c>
      <c r="E145" t="s">
        <v>29</v>
      </c>
      <c r="F145" t="s">
        <v>21</v>
      </c>
      <c r="G145">
        <v>16</v>
      </c>
      <c r="H145" s="2">
        <v>2.09</v>
      </c>
      <c r="I145" s="2">
        <v>21.55</v>
      </c>
    </row>
    <row r="146" spans="1:9" x14ac:dyDescent="0.3">
      <c r="A146" s="1">
        <v>45557</v>
      </c>
      <c r="B146" t="s">
        <v>14</v>
      </c>
      <c r="C146" t="s">
        <v>26</v>
      </c>
      <c r="D146" t="s">
        <v>11</v>
      </c>
      <c r="E146" t="s">
        <v>29</v>
      </c>
      <c r="F146" t="s">
        <v>19</v>
      </c>
      <c r="G146">
        <v>14</v>
      </c>
      <c r="H146" s="2">
        <v>1.99</v>
      </c>
      <c r="I146" s="2">
        <v>22.89</v>
      </c>
    </row>
    <row r="147" spans="1:9" x14ac:dyDescent="0.3">
      <c r="A147" s="1">
        <v>45581</v>
      </c>
      <c r="B147" t="s">
        <v>14</v>
      </c>
      <c r="C147" t="s">
        <v>17</v>
      </c>
      <c r="D147" t="s">
        <v>11</v>
      </c>
      <c r="E147" t="s">
        <v>20</v>
      </c>
      <c r="F147" t="s">
        <v>19</v>
      </c>
      <c r="G147">
        <v>14</v>
      </c>
      <c r="H147" s="2">
        <v>1.91</v>
      </c>
      <c r="I147" s="2">
        <v>4.91</v>
      </c>
    </row>
    <row r="148" spans="1:9" x14ac:dyDescent="0.3">
      <c r="A148" s="1">
        <v>45647</v>
      </c>
      <c r="B148" t="s">
        <v>22</v>
      </c>
      <c r="C148" t="s">
        <v>10</v>
      </c>
      <c r="D148" t="s">
        <v>11</v>
      </c>
      <c r="E148" t="s">
        <v>18</v>
      </c>
      <c r="F148" t="s">
        <v>19</v>
      </c>
      <c r="G148">
        <v>14</v>
      </c>
      <c r="H148" s="2">
        <v>1.84</v>
      </c>
      <c r="I148" s="2">
        <v>10.91</v>
      </c>
    </row>
    <row r="149" spans="1:9" x14ac:dyDescent="0.3">
      <c r="A149" s="1">
        <v>45495</v>
      </c>
      <c r="B149" t="s">
        <v>9</v>
      </c>
      <c r="C149" t="s">
        <v>26</v>
      </c>
      <c r="D149" t="s">
        <v>11</v>
      </c>
      <c r="E149" t="s">
        <v>16</v>
      </c>
      <c r="F149" t="s">
        <v>19</v>
      </c>
      <c r="G149">
        <v>14</v>
      </c>
      <c r="H149" s="2">
        <v>2.08</v>
      </c>
      <c r="I149" s="2">
        <v>5.79</v>
      </c>
    </row>
    <row r="150" spans="1:9" x14ac:dyDescent="0.3">
      <c r="A150" s="1">
        <v>45559</v>
      </c>
      <c r="B150" t="s">
        <v>9</v>
      </c>
      <c r="C150" t="s">
        <v>26</v>
      </c>
      <c r="D150" t="s">
        <v>11</v>
      </c>
      <c r="E150" t="s">
        <v>16</v>
      </c>
      <c r="F150" t="s">
        <v>19</v>
      </c>
      <c r="G150">
        <v>14</v>
      </c>
      <c r="H150" s="2">
        <v>1.94</v>
      </c>
      <c r="I150" s="2">
        <v>6.24</v>
      </c>
    </row>
    <row r="151" spans="1:9" x14ac:dyDescent="0.3">
      <c r="A151" s="1">
        <v>45383</v>
      </c>
      <c r="B151" t="s">
        <v>9</v>
      </c>
      <c r="C151" t="s">
        <v>24</v>
      </c>
      <c r="D151" t="s">
        <v>11</v>
      </c>
      <c r="E151" t="s">
        <v>12</v>
      </c>
      <c r="F151" t="s">
        <v>19</v>
      </c>
      <c r="G151">
        <v>14</v>
      </c>
      <c r="H151" s="2">
        <v>1.89</v>
      </c>
      <c r="I151" s="2">
        <v>12.55</v>
      </c>
    </row>
    <row r="152" spans="1:9" x14ac:dyDescent="0.3">
      <c r="A152" s="1">
        <v>45547</v>
      </c>
      <c r="B152" t="s">
        <v>28</v>
      </c>
      <c r="C152" t="s">
        <v>31</v>
      </c>
      <c r="D152" t="s">
        <v>11</v>
      </c>
      <c r="E152" t="s">
        <v>12</v>
      </c>
      <c r="F152" t="s">
        <v>21</v>
      </c>
      <c r="G152">
        <v>16</v>
      </c>
      <c r="H152" s="2">
        <v>1.83</v>
      </c>
      <c r="I152" s="2">
        <v>9.26</v>
      </c>
    </row>
    <row r="153" spans="1:9" x14ac:dyDescent="0.3">
      <c r="A153" s="1">
        <v>45460</v>
      </c>
      <c r="B153" t="s">
        <v>27</v>
      </c>
      <c r="C153" t="s">
        <v>15</v>
      </c>
      <c r="D153" t="s">
        <v>11</v>
      </c>
      <c r="E153" t="s">
        <v>18</v>
      </c>
      <c r="F153" t="s">
        <v>25</v>
      </c>
      <c r="G153">
        <v>18</v>
      </c>
      <c r="H153" s="2">
        <v>1.87</v>
      </c>
      <c r="I153" s="2">
        <v>8.2100000000000009</v>
      </c>
    </row>
    <row r="154" spans="1:9" x14ac:dyDescent="0.3">
      <c r="A154" s="1">
        <v>45627</v>
      </c>
      <c r="B154" t="s">
        <v>22</v>
      </c>
      <c r="C154" t="s">
        <v>31</v>
      </c>
      <c r="D154" t="s">
        <v>11</v>
      </c>
      <c r="E154" t="s">
        <v>12</v>
      </c>
      <c r="F154" t="s">
        <v>25</v>
      </c>
      <c r="G154">
        <v>18</v>
      </c>
      <c r="H154" s="2">
        <v>1.84</v>
      </c>
      <c r="I154" s="2">
        <v>10.220000000000001</v>
      </c>
    </row>
    <row r="155" spans="1:9" x14ac:dyDescent="0.3">
      <c r="A155" s="1">
        <v>45493</v>
      </c>
      <c r="B155" t="s">
        <v>27</v>
      </c>
      <c r="C155" t="s">
        <v>17</v>
      </c>
      <c r="D155" t="s">
        <v>11</v>
      </c>
      <c r="E155" t="s">
        <v>30</v>
      </c>
      <c r="F155" t="s">
        <v>21</v>
      </c>
      <c r="G155">
        <v>16</v>
      </c>
      <c r="H155" s="2">
        <v>2.04</v>
      </c>
      <c r="I155" s="2">
        <v>14.28</v>
      </c>
    </row>
    <row r="156" spans="1:9" x14ac:dyDescent="0.3">
      <c r="A156" s="1">
        <v>45582</v>
      </c>
      <c r="B156" t="s">
        <v>28</v>
      </c>
      <c r="C156" t="s">
        <v>15</v>
      </c>
      <c r="D156" t="s">
        <v>11</v>
      </c>
      <c r="E156" t="s">
        <v>16</v>
      </c>
      <c r="F156" t="s">
        <v>25</v>
      </c>
      <c r="G156">
        <v>18</v>
      </c>
      <c r="H156" s="2">
        <v>1.92</v>
      </c>
      <c r="I156" s="2">
        <v>5.12</v>
      </c>
    </row>
    <row r="157" spans="1:9" x14ac:dyDescent="0.3">
      <c r="A157" s="1">
        <v>45320</v>
      </c>
      <c r="B157" t="s">
        <v>28</v>
      </c>
      <c r="C157" t="s">
        <v>10</v>
      </c>
      <c r="D157" t="s">
        <v>11</v>
      </c>
      <c r="E157" t="s">
        <v>29</v>
      </c>
      <c r="F157" t="s">
        <v>25</v>
      </c>
      <c r="G157">
        <v>18</v>
      </c>
      <c r="H157" s="2">
        <v>2.0099999999999998</v>
      </c>
      <c r="I157" s="2">
        <v>17.2</v>
      </c>
    </row>
    <row r="158" spans="1:9" x14ac:dyDescent="0.3">
      <c r="A158" s="1">
        <v>45602</v>
      </c>
      <c r="B158" t="s">
        <v>28</v>
      </c>
      <c r="C158" t="s">
        <v>10</v>
      </c>
      <c r="D158" t="s">
        <v>11</v>
      </c>
      <c r="E158" t="s">
        <v>12</v>
      </c>
      <c r="F158" t="s">
        <v>13</v>
      </c>
      <c r="G158">
        <v>20</v>
      </c>
      <c r="H158" s="2">
        <v>1.92</v>
      </c>
      <c r="I158" s="2">
        <v>8.74</v>
      </c>
    </row>
    <row r="159" spans="1:9" x14ac:dyDescent="0.3">
      <c r="A159" s="1">
        <v>45353</v>
      </c>
      <c r="B159" t="s">
        <v>27</v>
      </c>
      <c r="C159" t="s">
        <v>31</v>
      </c>
      <c r="D159" t="s">
        <v>11</v>
      </c>
      <c r="E159" t="s">
        <v>16</v>
      </c>
      <c r="F159" t="s">
        <v>19</v>
      </c>
      <c r="G159">
        <v>14</v>
      </c>
      <c r="H159" s="2">
        <v>2</v>
      </c>
      <c r="I159" s="2">
        <v>7.57</v>
      </c>
    </row>
    <row r="160" spans="1:9" x14ac:dyDescent="0.3">
      <c r="A160" s="1">
        <v>45322</v>
      </c>
      <c r="B160" t="s">
        <v>28</v>
      </c>
      <c r="C160" t="s">
        <v>24</v>
      </c>
      <c r="D160" t="s">
        <v>11</v>
      </c>
      <c r="E160" t="s">
        <v>29</v>
      </c>
      <c r="F160" t="s">
        <v>19</v>
      </c>
      <c r="G160">
        <v>14</v>
      </c>
      <c r="H160" s="2">
        <v>2.09</v>
      </c>
      <c r="I160" s="2">
        <v>24.93</v>
      </c>
    </row>
    <row r="161" spans="1:9" x14ac:dyDescent="0.3">
      <c r="A161" s="1">
        <v>45483</v>
      </c>
      <c r="B161" t="s">
        <v>14</v>
      </c>
      <c r="C161" t="s">
        <v>10</v>
      </c>
      <c r="D161" t="s">
        <v>11</v>
      </c>
      <c r="E161" t="s">
        <v>30</v>
      </c>
      <c r="F161" t="s">
        <v>21</v>
      </c>
      <c r="G161">
        <v>16</v>
      </c>
      <c r="H161" s="2">
        <v>1.83</v>
      </c>
      <c r="I161" s="2">
        <v>12.58</v>
      </c>
    </row>
    <row r="162" spans="1:9" x14ac:dyDescent="0.3">
      <c r="A162" s="1">
        <v>45594</v>
      </c>
      <c r="B162" t="s">
        <v>9</v>
      </c>
      <c r="C162" t="s">
        <v>31</v>
      </c>
      <c r="D162" t="s">
        <v>11</v>
      </c>
      <c r="E162" t="s">
        <v>18</v>
      </c>
      <c r="F162" t="s">
        <v>21</v>
      </c>
      <c r="G162">
        <v>16</v>
      </c>
      <c r="H162" s="2">
        <v>1.78</v>
      </c>
      <c r="I162" s="2">
        <v>9.4600000000000009</v>
      </c>
    </row>
    <row r="163" spans="1:9" x14ac:dyDescent="0.3">
      <c r="A163" s="1">
        <v>45633</v>
      </c>
      <c r="B163" t="s">
        <v>28</v>
      </c>
      <c r="C163" t="s">
        <v>17</v>
      </c>
      <c r="D163" t="s">
        <v>11</v>
      </c>
      <c r="E163" t="s">
        <v>30</v>
      </c>
      <c r="F163" t="s">
        <v>25</v>
      </c>
      <c r="G163">
        <v>18</v>
      </c>
      <c r="H163" s="2">
        <v>1.95</v>
      </c>
      <c r="I163" s="2">
        <v>12.89</v>
      </c>
    </row>
    <row r="164" spans="1:9" x14ac:dyDescent="0.3">
      <c r="A164" s="1">
        <v>45363</v>
      </c>
      <c r="B164" t="s">
        <v>28</v>
      </c>
      <c r="C164" t="s">
        <v>17</v>
      </c>
      <c r="D164" t="s">
        <v>11</v>
      </c>
      <c r="E164" t="s">
        <v>12</v>
      </c>
      <c r="F164" t="s">
        <v>25</v>
      </c>
      <c r="G164">
        <v>18</v>
      </c>
      <c r="H164" s="2">
        <v>1.93</v>
      </c>
      <c r="I164" s="2">
        <v>9.2200000000000006</v>
      </c>
    </row>
    <row r="165" spans="1:9" x14ac:dyDescent="0.3">
      <c r="A165" s="1">
        <v>45543</v>
      </c>
      <c r="B165" t="s">
        <v>27</v>
      </c>
      <c r="C165" t="s">
        <v>15</v>
      </c>
      <c r="D165" t="s">
        <v>11</v>
      </c>
      <c r="E165" t="s">
        <v>16</v>
      </c>
      <c r="F165" t="s">
        <v>19</v>
      </c>
      <c r="G165">
        <v>14</v>
      </c>
      <c r="H165" s="2">
        <v>1.76</v>
      </c>
      <c r="I165" s="2">
        <v>6.03</v>
      </c>
    </row>
    <row r="166" spans="1:9" x14ac:dyDescent="0.3">
      <c r="A166" s="1">
        <v>45319</v>
      </c>
      <c r="B166" t="s">
        <v>27</v>
      </c>
      <c r="C166" t="s">
        <v>31</v>
      </c>
      <c r="D166" t="s">
        <v>11</v>
      </c>
      <c r="E166" t="s">
        <v>20</v>
      </c>
      <c r="F166" t="s">
        <v>13</v>
      </c>
      <c r="G166">
        <v>20</v>
      </c>
      <c r="H166" s="2">
        <v>1.99</v>
      </c>
      <c r="I166" s="2">
        <v>2.98</v>
      </c>
    </row>
    <row r="167" spans="1:9" x14ac:dyDescent="0.3">
      <c r="A167" s="1">
        <v>45642</v>
      </c>
      <c r="B167" t="s">
        <v>14</v>
      </c>
      <c r="C167" t="s">
        <v>31</v>
      </c>
      <c r="D167" t="s">
        <v>11</v>
      </c>
      <c r="E167" t="s">
        <v>23</v>
      </c>
      <c r="F167" t="s">
        <v>21</v>
      </c>
      <c r="G167">
        <v>16</v>
      </c>
      <c r="H167" s="2">
        <v>1.83</v>
      </c>
      <c r="I167" s="2">
        <v>11.67</v>
      </c>
    </row>
    <row r="168" spans="1:9" x14ac:dyDescent="0.3">
      <c r="A168" s="1">
        <v>45566</v>
      </c>
      <c r="B168" t="s">
        <v>28</v>
      </c>
      <c r="C168" t="s">
        <v>10</v>
      </c>
      <c r="D168" t="s">
        <v>11</v>
      </c>
      <c r="E168" t="s">
        <v>20</v>
      </c>
      <c r="F168" t="s">
        <v>21</v>
      </c>
      <c r="G168">
        <v>16</v>
      </c>
      <c r="H168" s="2">
        <v>2</v>
      </c>
      <c r="I168" s="2">
        <v>4.88</v>
      </c>
    </row>
    <row r="169" spans="1:9" x14ac:dyDescent="0.3">
      <c r="A169" s="1">
        <v>45627</v>
      </c>
      <c r="B169" t="s">
        <v>14</v>
      </c>
      <c r="C169" t="s">
        <v>15</v>
      </c>
      <c r="D169" t="s">
        <v>11</v>
      </c>
      <c r="E169" t="s">
        <v>30</v>
      </c>
      <c r="F169" t="s">
        <v>13</v>
      </c>
      <c r="G169">
        <v>20</v>
      </c>
      <c r="H169" s="2">
        <v>1.79</v>
      </c>
      <c r="I169" s="2">
        <v>9.67</v>
      </c>
    </row>
    <row r="170" spans="1:9" x14ac:dyDescent="0.3">
      <c r="A170" s="1">
        <v>45396</v>
      </c>
      <c r="B170" t="s">
        <v>28</v>
      </c>
      <c r="C170" t="s">
        <v>15</v>
      </c>
      <c r="D170" t="s">
        <v>11</v>
      </c>
      <c r="E170" t="s">
        <v>29</v>
      </c>
      <c r="F170" t="s">
        <v>25</v>
      </c>
      <c r="G170">
        <v>18</v>
      </c>
      <c r="H170" s="2">
        <v>1.98</v>
      </c>
      <c r="I170" s="2">
        <v>17.93</v>
      </c>
    </row>
    <row r="171" spans="1:9" x14ac:dyDescent="0.3">
      <c r="A171" s="1">
        <v>45536</v>
      </c>
      <c r="B171" t="s">
        <v>9</v>
      </c>
      <c r="C171" t="s">
        <v>10</v>
      </c>
      <c r="D171" t="s">
        <v>11</v>
      </c>
      <c r="E171" t="s">
        <v>12</v>
      </c>
      <c r="F171" t="s">
        <v>25</v>
      </c>
      <c r="G171">
        <v>18</v>
      </c>
      <c r="H171" s="2">
        <v>1.89</v>
      </c>
      <c r="I171" s="2">
        <v>8.7100000000000009</v>
      </c>
    </row>
    <row r="172" spans="1:9" x14ac:dyDescent="0.3">
      <c r="A172" s="1">
        <v>45313</v>
      </c>
      <c r="B172" t="s">
        <v>14</v>
      </c>
      <c r="C172" t="s">
        <v>10</v>
      </c>
      <c r="D172" t="s">
        <v>11</v>
      </c>
      <c r="E172" t="s">
        <v>23</v>
      </c>
      <c r="F172" t="s">
        <v>13</v>
      </c>
      <c r="G172">
        <v>20</v>
      </c>
      <c r="H172" s="2">
        <v>1.83</v>
      </c>
      <c r="I172" s="2">
        <v>9.33</v>
      </c>
    </row>
    <row r="173" spans="1:9" x14ac:dyDescent="0.3">
      <c r="A173" s="1">
        <v>45604</v>
      </c>
      <c r="B173" t="s">
        <v>14</v>
      </c>
      <c r="C173" t="s">
        <v>24</v>
      </c>
      <c r="D173" t="s">
        <v>11</v>
      </c>
      <c r="E173" t="s">
        <v>12</v>
      </c>
      <c r="F173" t="s">
        <v>25</v>
      </c>
      <c r="G173">
        <v>18</v>
      </c>
      <c r="H173" s="2">
        <v>1.97</v>
      </c>
      <c r="I173" s="2">
        <v>10.29</v>
      </c>
    </row>
    <row r="174" spans="1:9" x14ac:dyDescent="0.3">
      <c r="A174" s="1">
        <v>45331</v>
      </c>
      <c r="B174" t="s">
        <v>28</v>
      </c>
      <c r="C174" t="s">
        <v>31</v>
      </c>
      <c r="D174" t="s">
        <v>11</v>
      </c>
      <c r="E174" t="s">
        <v>18</v>
      </c>
      <c r="F174" t="s">
        <v>21</v>
      </c>
      <c r="G174">
        <v>16</v>
      </c>
      <c r="H174" s="2">
        <v>2.08</v>
      </c>
      <c r="I174" s="2">
        <v>8.58</v>
      </c>
    </row>
    <row r="175" spans="1:9" x14ac:dyDescent="0.3">
      <c r="A175" s="1">
        <v>45489</v>
      </c>
      <c r="B175" t="s">
        <v>28</v>
      </c>
      <c r="C175" t="s">
        <v>15</v>
      </c>
      <c r="D175" t="s">
        <v>11</v>
      </c>
      <c r="E175" t="s">
        <v>18</v>
      </c>
      <c r="F175" t="s">
        <v>25</v>
      </c>
      <c r="G175">
        <v>18</v>
      </c>
      <c r="H175" s="2">
        <v>1.8</v>
      </c>
      <c r="I175" s="2">
        <v>6.6</v>
      </c>
    </row>
    <row r="176" spans="1:9" x14ac:dyDescent="0.3">
      <c r="A176" s="1">
        <v>45552</v>
      </c>
      <c r="B176" t="s">
        <v>27</v>
      </c>
      <c r="C176" t="s">
        <v>10</v>
      </c>
      <c r="D176" t="s">
        <v>11</v>
      </c>
      <c r="E176" t="s">
        <v>23</v>
      </c>
      <c r="F176" t="s">
        <v>25</v>
      </c>
      <c r="G176">
        <v>18</v>
      </c>
      <c r="H176" s="2">
        <v>2.08</v>
      </c>
      <c r="I176" s="2">
        <v>12.02</v>
      </c>
    </row>
    <row r="177" spans="1:9" x14ac:dyDescent="0.3">
      <c r="A177" s="1">
        <v>45571</v>
      </c>
      <c r="B177" t="s">
        <v>14</v>
      </c>
      <c r="C177" t="s">
        <v>15</v>
      </c>
      <c r="D177" t="s">
        <v>11</v>
      </c>
      <c r="E177" t="s">
        <v>12</v>
      </c>
      <c r="F177" t="s">
        <v>21</v>
      </c>
      <c r="G177">
        <v>16</v>
      </c>
      <c r="H177" s="2">
        <v>1.75</v>
      </c>
      <c r="I177" s="2">
        <v>9.84</v>
      </c>
    </row>
    <row r="178" spans="1:9" x14ac:dyDescent="0.3">
      <c r="A178" s="1">
        <v>45439</v>
      </c>
      <c r="B178" t="s">
        <v>27</v>
      </c>
      <c r="C178" t="s">
        <v>10</v>
      </c>
      <c r="D178" t="s">
        <v>11</v>
      </c>
      <c r="E178" t="s">
        <v>23</v>
      </c>
      <c r="F178" t="s">
        <v>25</v>
      </c>
      <c r="G178">
        <v>18</v>
      </c>
      <c r="H178" s="2">
        <v>1.83</v>
      </c>
      <c r="I178" s="2">
        <v>10.27</v>
      </c>
    </row>
    <row r="179" spans="1:9" x14ac:dyDescent="0.3">
      <c r="A179" s="1">
        <v>45644</v>
      </c>
      <c r="B179" t="s">
        <v>9</v>
      </c>
      <c r="C179" t="s">
        <v>10</v>
      </c>
      <c r="D179" t="s">
        <v>11</v>
      </c>
      <c r="E179" t="s">
        <v>30</v>
      </c>
      <c r="F179" t="s">
        <v>13</v>
      </c>
      <c r="G179">
        <v>20</v>
      </c>
      <c r="H179" s="2">
        <v>2.04</v>
      </c>
      <c r="I179" s="2">
        <v>12.75</v>
      </c>
    </row>
    <row r="180" spans="1:9" x14ac:dyDescent="0.3">
      <c r="A180" s="1">
        <v>45520</v>
      </c>
      <c r="B180" t="s">
        <v>27</v>
      </c>
      <c r="C180" t="s">
        <v>31</v>
      </c>
      <c r="D180" t="s">
        <v>11</v>
      </c>
      <c r="E180" t="s">
        <v>29</v>
      </c>
      <c r="F180" t="s">
        <v>19</v>
      </c>
      <c r="G180">
        <v>14</v>
      </c>
      <c r="H180" s="2">
        <v>1.86</v>
      </c>
      <c r="I180" s="2">
        <v>21.92</v>
      </c>
    </row>
    <row r="181" spans="1:9" x14ac:dyDescent="0.3">
      <c r="A181" s="1">
        <v>45545</v>
      </c>
      <c r="B181" t="s">
        <v>28</v>
      </c>
      <c r="C181" t="s">
        <v>24</v>
      </c>
      <c r="D181" t="s">
        <v>11</v>
      </c>
      <c r="E181" t="s">
        <v>12</v>
      </c>
      <c r="F181" t="s">
        <v>19</v>
      </c>
      <c r="G181">
        <v>14</v>
      </c>
      <c r="H181" s="2">
        <v>1.8</v>
      </c>
      <c r="I181" s="2">
        <v>12.47</v>
      </c>
    </row>
    <row r="182" spans="1:9" x14ac:dyDescent="0.3">
      <c r="A182" s="1">
        <v>45486</v>
      </c>
      <c r="B182" t="s">
        <v>28</v>
      </c>
      <c r="C182" t="s">
        <v>24</v>
      </c>
      <c r="D182" t="s">
        <v>11</v>
      </c>
      <c r="E182" t="s">
        <v>30</v>
      </c>
      <c r="F182" t="s">
        <v>19</v>
      </c>
      <c r="G182">
        <v>14</v>
      </c>
      <c r="H182" s="2">
        <v>1.99</v>
      </c>
      <c r="I182" s="2">
        <v>16.91</v>
      </c>
    </row>
    <row r="183" spans="1:9" x14ac:dyDescent="0.3">
      <c r="A183" s="1">
        <v>45444</v>
      </c>
      <c r="B183" t="s">
        <v>14</v>
      </c>
      <c r="C183" t="s">
        <v>15</v>
      </c>
      <c r="D183" t="s">
        <v>11</v>
      </c>
      <c r="E183" t="s">
        <v>18</v>
      </c>
      <c r="F183" t="s">
        <v>19</v>
      </c>
      <c r="G183">
        <v>14</v>
      </c>
      <c r="H183" s="2">
        <v>2</v>
      </c>
      <c r="I183" s="2">
        <v>9.57</v>
      </c>
    </row>
    <row r="184" spans="1:9" x14ac:dyDescent="0.3">
      <c r="A184" s="1">
        <v>45540</v>
      </c>
      <c r="B184" t="s">
        <v>27</v>
      </c>
      <c r="C184" t="s">
        <v>17</v>
      </c>
      <c r="D184" t="s">
        <v>11</v>
      </c>
      <c r="E184" t="s">
        <v>23</v>
      </c>
      <c r="F184" t="s">
        <v>13</v>
      </c>
      <c r="G184">
        <v>20</v>
      </c>
      <c r="H184" s="2">
        <v>1.9</v>
      </c>
      <c r="I184" s="2">
        <v>10.16</v>
      </c>
    </row>
    <row r="185" spans="1:9" x14ac:dyDescent="0.3">
      <c r="A185" s="1">
        <v>45393</v>
      </c>
      <c r="B185" t="s">
        <v>22</v>
      </c>
      <c r="C185" t="s">
        <v>26</v>
      </c>
      <c r="D185" t="s">
        <v>11</v>
      </c>
      <c r="E185" t="s">
        <v>30</v>
      </c>
      <c r="F185" t="s">
        <v>13</v>
      </c>
      <c r="G185">
        <v>20</v>
      </c>
      <c r="H185" s="2">
        <v>2.02</v>
      </c>
      <c r="I185" s="2">
        <v>11.21</v>
      </c>
    </row>
    <row r="186" spans="1:9" x14ac:dyDescent="0.3">
      <c r="A186" s="1">
        <v>45502</v>
      </c>
      <c r="B186" t="s">
        <v>27</v>
      </c>
      <c r="C186" t="s">
        <v>24</v>
      </c>
      <c r="D186" t="s">
        <v>11</v>
      </c>
      <c r="E186" t="s">
        <v>18</v>
      </c>
      <c r="F186" t="s">
        <v>13</v>
      </c>
      <c r="G186">
        <v>20</v>
      </c>
      <c r="H186" s="2">
        <v>1.84</v>
      </c>
      <c r="I186" s="2">
        <v>6.99</v>
      </c>
    </row>
    <row r="187" spans="1:9" x14ac:dyDescent="0.3">
      <c r="A187" s="1">
        <v>45493</v>
      </c>
      <c r="B187" t="s">
        <v>22</v>
      </c>
      <c r="C187" t="s">
        <v>24</v>
      </c>
      <c r="D187" t="s">
        <v>11</v>
      </c>
      <c r="E187" t="s">
        <v>20</v>
      </c>
      <c r="F187" t="s">
        <v>21</v>
      </c>
      <c r="G187">
        <v>16</v>
      </c>
      <c r="H187" s="2">
        <v>2</v>
      </c>
      <c r="I187" s="2">
        <v>4.25</v>
      </c>
    </row>
    <row r="188" spans="1:9" x14ac:dyDescent="0.3">
      <c r="A188" s="1">
        <v>45375</v>
      </c>
      <c r="B188" t="s">
        <v>14</v>
      </c>
      <c r="C188" t="s">
        <v>31</v>
      </c>
      <c r="D188" t="s">
        <v>11</v>
      </c>
      <c r="E188" t="s">
        <v>18</v>
      </c>
      <c r="F188" t="s">
        <v>21</v>
      </c>
      <c r="G188">
        <v>16</v>
      </c>
      <c r="H188" s="2">
        <v>1.99</v>
      </c>
      <c r="I188" s="2">
        <v>9.9499999999999993</v>
      </c>
    </row>
    <row r="189" spans="1:9" x14ac:dyDescent="0.3">
      <c r="A189" s="1">
        <v>45314</v>
      </c>
      <c r="B189" t="s">
        <v>22</v>
      </c>
      <c r="C189" t="s">
        <v>24</v>
      </c>
      <c r="D189" t="s">
        <v>11</v>
      </c>
      <c r="E189" t="s">
        <v>30</v>
      </c>
      <c r="F189" t="s">
        <v>25</v>
      </c>
      <c r="G189">
        <v>18</v>
      </c>
      <c r="H189" s="2">
        <v>2.0699999999999998</v>
      </c>
      <c r="I189" s="2">
        <v>12.3</v>
      </c>
    </row>
    <row r="190" spans="1:9" x14ac:dyDescent="0.3">
      <c r="A190" s="1">
        <v>45330</v>
      </c>
      <c r="B190" t="s">
        <v>9</v>
      </c>
      <c r="C190" t="s">
        <v>26</v>
      </c>
      <c r="D190" t="s">
        <v>11</v>
      </c>
      <c r="E190" t="s">
        <v>23</v>
      </c>
      <c r="F190" t="s">
        <v>13</v>
      </c>
      <c r="G190">
        <v>20</v>
      </c>
      <c r="H190" s="2">
        <v>1.82</v>
      </c>
      <c r="I190" s="2">
        <v>9.5500000000000007</v>
      </c>
    </row>
    <row r="191" spans="1:9" x14ac:dyDescent="0.3">
      <c r="A191" s="1">
        <v>45462</v>
      </c>
      <c r="B191" t="s">
        <v>22</v>
      </c>
      <c r="C191" t="s">
        <v>24</v>
      </c>
      <c r="D191" t="s">
        <v>11</v>
      </c>
      <c r="E191" t="s">
        <v>16</v>
      </c>
      <c r="F191" t="s">
        <v>13</v>
      </c>
      <c r="G191">
        <v>20</v>
      </c>
      <c r="H191" s="2">
        <v>1.84</v>
      </c>
      <c r="I191" s="2">
        <v>4.88</v>
      </c>
    </row>
    <row r="192" spans="1:9" x14ac:dyDescent="0.3">
      <c r="A192" s="1">
        <v>45624</v>
      </c>
      <c r="B192" t="s">
        <v>14</v>
      </c>
      <c r="C192" t="s">
        <v>15</v>
      </c>
      <c r="D192" t="s">
        <v>11</v>
      </c>
      <c r="E192" t="s">
        <v>23</v>
      </c>
      <c r="F192" t="s">
        <v>19</v>
      </c>
      <c r="G192">
        <v>14</v>
      </c>
      <c r="H192" s="2">
        <v>1.83</v>
      </c>
      <c r="I192" s="2">
        <v>12.68</v>
      </c>
    </row>
    <row r="193" spans="1:9" x14ac:dyDescent="0.3">
      <c r="A193" s="1">
        <v>45302</v>
      </c>
      <c r="B193" t="s">
        <v>9</v>
      </c>
      <c r="C193" t="s">
        <v>24</v>
      </c>
      <c r="D193" t="s">
        <v>11</v>
      </c>
      <c r="E193" t="s">
        <v>12</v>
      </c>
      <c r="F193" t="s">
        <v>19</v>
      </c>
      <c r="G193">
        <v>14</v>
      </c>
      <c r="H193" s="2">
        <v>1.79</v>
      </c>
      <c r="I193" s="2">
        <v>11</v>
      </c>
    </row>
    <row r="194" spans="1:9" x14ac:dyDescent="0.3">
      <c r="A194" s="1">
        <v>45380</v>
      </c>
      <c r="B194" t="s">
        <v>14</v>
      </c>
      <c r="C194" t="s">
        <v>15</v>
      </c>
      <c r="D194" t="s">
        <v>11</v>
      </c>
      <c r="E194" t="s">
        <v>16</v>
      </c>
      <c r="F194" t="s">
        <v>19</v>
      </c>
      <c r="G194">
        <v>14</v>
      </c>
      <c r="H194" s="2">
        <v>1.97</v>
      </c>
      <c r="I194" s="2">
        <v>4.92</v>
      </c>
    </row>
    <row r="195" spans="1:9" x14ac:dyDescent="0.3">
      <c r="A195" s="1">
        <v>45507</v>
      </c>
      <c r="B195" t="s">
        <v>9</v>
      </c>
      <c r="C195" t="s">
        <v>31</v>
      </c>
      <c r="D195" t="s">
        <v>11</v>
      </c>
      <c r="E195" t="s">
        <v>16</v>
      </c>
      <c r="F195" t="s">
        <v>19</v>
      </c>
      <c r="G195">
        <v>14</v>
      </c>
      <c r="H195" s="2">
        <v>1.87</v>
      </c>
      <c r="I195" s="2">
        <v>5.48</v>
      </c>
    </row>
    <row r="196" spans="1:9" x14ac:dyDescent="0.3">
      <c r="A196" s="1">
        <v>45583</v>
      </c>
      <c r="B196" t="s">
        <v>28</v>
      </c>
      <c r="C196" t="s">
        <v>15</v>
      </c>
      <c r="D196" t="s">
        <v>11</v>
      </c>
      <c r="E196" t="s">
        <v>18</v>
      </c>
      <c r="F196" t="s">
        <v>13</v>
      </c>
      <c r="G196">
        <v>20</v>
      </c>
      <c r="H196" s="2">
        <v>2.06</v>
      </c>
      <c r="I196" s="2">
        <v>6.9</v>
      </c>
    </row>
    <row r="197" spans="1:9" x14ac:dyDescent="0.3">
      <c r="A197" s="1">
        <v>45292</v>
      </c>
      <c r="B197" t="s">
        <v>28</v>
      </c>
      <c r="C197" t="s">
        <v>31</v>
      </c>
      <c r="D197" t="s">
        <v>11</v>
      </c>
      <c r="E197" t="s">
        <v>16</v>
      </c>
      <c r="F197" t="s">
        <v>19</v>
      </c>
      <c r="G197">
        <v>14</v>
      </c>
      <c r="H197" s="2">
        <v>1.88</v>
      </c>
      <c r="I197" s="2">
        <v>6.71</v>
      </c>
    </row>
    <row r="198" spans="1:9" x14ac:dyDescent="0.3">
      <c r="A198" s="1">
        <v>45598</v>
      </c>
      <c r="B198" t="s">
        <v>9</v>
      </c>
      <c r="C198" t="s">
        <v>10</v>
      </c>
      <c r="D198" t="s">
        <v>11</v>
      </c>
      <c r="E198" t="s">
        <v>29</v>
      </c>
      <c r="F198" t="s">
        <v>19</v>
      </c>
      <c r="G198">
        <v>14</v>
      </c>
      <c r="H198" s="2">
        <v>1.76</v>
      </c>
      <c r="I198" s="2">
        <v>20.37</v>
      </c>
    </row>
    <row r="199" spans="1:9" x14ac:dyDescent="0.3">
      <c r="A199" s="1">
        <v>45314</v>
      </c>
      <c r="B199" t="s">
        <v>27</v>
      </c>
      <c r="C199" t="s">
        <v>15</v>
      </c>
      <c r="D199" t="s">
        <v>11</v>
      </c>
      <c r="E199" t="s">
        <v>18</v>
      </c>
      <c r="F199" t="s">
        <v>19</v>
      </c>
      <c r="G199">
        <v>14</v>
      </c>
      <c r="H199" s="2">
        <v>1.98</v>
      </c>
      <c r="I199" s="2">
        <v>11.03</v>
      </c>
    </row>
    <row r="200" spans="1:9" x14ac:dyDescent="0.3">
      <c r="A200" s="1">
        <v>45552</v>
      </c>
      <c r="B200" t="s">
        <v>22</v>
      </c>
      <c r="C200" t="s">
        <v>26</v>
      </c>
      <c r="D200" t="s">
        <v>11</v>
      </c>
      <c r="E200" t="s">
        <v>23</v>
      </c>
      <c r="F200" t="s">
        <v>13</v>
      </c>
      <c r="G200">
        <v>20</v>
      </c>
      <c r="H200" s="2">
        <v>1.82</v>
      </c>
      <c r="I200" s="2">
        <v>9.1</v>
      </c>
    </row>
    <row r="201" spans="1:9" x14ac:dyDescent="0.3">
      <c r="A201" s="1">
        <v>45531</v>
      </c>
      <c r="B201" t="s">
        <v>22</v>
      </c>
      <c r="C201" t="s">
        <v>26</v>
      </c>
      <c r="D201" t="s">
        <v>11</v>
      </c>
      <c r="E201" t="s">
        <v>12</v>
      </c>
      <c r="F201" t="s">
        <v>13</v>
      </c>
      <c r="G201">
        <v>20</v>
      </c>
      <c r="H201" s="2">
        <v>2.0499999999999998</v>
      </c>
      <c r="I201" s="2">
        <v>9.1199999999999992</v>
      </c>
    </row>
    <row r="202" spans="1:9" x14ac:dyDescent="0.3">
      <c r="A202" s="1">
        <v>45554</v>
      </c>
      <c r="B202" t="s">
        <v>9</v>
      </c>
      <c r="C202" t="s">
        <v>24</v>
      </c>
      <c r="D202" t="s">
        <v>11</v>
      </c>
      <c r="E202" t="s">
        <v>23</v>
      </c>
      <c r="F202" t="s">
        <v>19</v>
      </c>
      <c r="G202">
        <v>14</v>
      </c>
      <c r="H202" s="2">
        <v>1.81</v>
      </c>
      <c r="I202" s="2">
        <v>13.7</v>
      </c>
    </row>
    <row r="203" spans="1:9" x14ac:dyDescent="0.3">
      <c r="A203" s="1">
        <v>45293</v>
      </c>
      <c r="B203" t="s">
        <v>27</v>
      </c>
      <c r="C203" t="s">
        <v>26</v>
      </c>
      <c r="D203" t="s">
        <v>11</v>
      </c>
      <c r="E203" t="s">
        <v>16</v>
      </c>
      <c r="F203" t="s">
        <v>25</v>
      </c>
      <c r="G203">
        <v>18</v>
      </c>
      <c r="H203" s="2">
        <v>1.96</v>
      </c>
      <c r="I203" s="2">
        <v>4.46</v>
      </c>
    </row>
    <row r="204" spans="1:9" x14ac:dyDescent="0.3">
      <c r="A204" s="1">
        <v>45602</v>
      </c>
      <c r="B204" t="s">
        <v>9</v>
      </c>
      <c r="C204" t="s">
        <v>31</v>
      </c>
      <c r="D204" t="s">
        <v>11</v>
      </c>
      <c r="E204" t="s">
        <v>29</v>
      </c>
      <c r="F204" t="s">
        <v>25</v>
      </c>
      <c r="G204">
        <v>18</v>
      </c>
      <c r="H204" s="2">
        <v>2.09</v>
      </c>
      <c r="I204" s="2">
        <v>18.809999999999999</v>
      </c>
    </row>
    <row r="205" spans="1:9" x14ac:dyDescent="0.3">
      <c r="A205" s="1">
        <v>45392</v>
      </c>
      <c r="B205" t="s">
        <v>27</v>
      </c>
      <c r="C205" t="s">
        <v>10</v>
      </c>
      <c r="D205" t="s">
        <v>11</v>
      </c>
      <c r="E205" t="s">
        <v>16</v>
      </c>
      <c r="F205" t="s">
        <v>13</v>
      </c>
      <c r="G205">
        <v>20</v>
      </c>
      <c r="H205" s="2">
        <v>2.02</v>
      </c>
      <c r="I205" s="2">
        <v>4.24</v>
      </c>
    </row>
    <row r="206" spans="1:9" x14ac:dyDescent="0.3">
      <c r="A206" s="1">
        <v>45584</v>
      </c>
      <c r="B206" t="s">
        <v>22</v>
      </c>
      <c r="C206" t="s">
        <v>17</v>
      </c>
      <c r="D206" t="s">
        <v>11</v>
      </c>
      <c r="E206" t="s">
        <v>23</v>
      </c>
      <c r="F206" t="s">
        <v>13</v>
      </c>
      <c r="G206">
        <v>20</v>
      </c>
      <c r="H206" s="2">
        <v>2.0299999999999998</v>
      </c>
      <c r="I206" s="2">
        <v>9.24</v>
      </c>
    </row>
    <row r="207" spans="1:9" x14ac:dyDescent="0.3">
      <c r="A207" s="1">
        <v>45430</v>
      </c>
      <c r="B207" t="s">
        <v>14</v>
      </c>
      <c r="C207" t="s">
        <v>17</v>
      </c>
      <c r="D207" t="s">
        <v>11</v>
      </c>
      <c r="E207" t="s">
        <v>18</v>
      </c>
      <c r="F207" t="s">
        <v>25</v>
      </c>
      <c r="G207">
        <v>18</v>
      </c>
      <c r="H207" s="2">
        <v>2.02</v>
      </c>
      <c r="I207" s="2">
        <v>8.98</v>
      </c>
    </row>
    <row r="208" spans="1:9" x14ac:dyDescent="0.3">
      <c r="A208" s="1">
        <v>45568</v>
      </c>
      <c r="B208" t="s">
        <v>9</v>
      </c>
      <c r="C208" t="s">
        <v>31</v>
      </c>
      <c r="D208" t="s">
        <v>11</v>
      </c>
      <c r="E208" t="s">
        <v>12</v>
      </c>
      <c r="F208" t="s">
        <v>25</v>
      </c>
      <c r="G208">
        <v>18</v>
      </c>
      <c r="H208" s="2">
        <v>2.0299999999999998</v>
      </c>
      <c r="I208" s="2">
        <v>10.039999999999999</v>
      </c>
    </row>
    <row r="209" spans="1:9" x14ac:dyDescent="0.3">
      <c r="A209" s="1">
        <v>45591</v>
      </c>
      <c r="B209" t="s">
        <v>28</v>
      </c>
      <c r="C209" t="s">
        <v>26</v>
      </c>
      <c r="D209" t="s">
        <v>11</v>
      </c>
      <c r="E209" t="s">
        <v>30</v>
      </c>
      <c r="F209" t="s">
        <v>21</v>
      </c>
      <c r="G209">
        <v>16</v>
      </c>
      <c r="H209" s="2">
        <v>1.75</v>
      </c>
      <c r="I209" s="2">
        <v>12.25</v>
      </c>
    </row>
    <row r="210" spans="1:9" x14ac:dyDescent="0.3">
      <c r="A210" s="1">
        <v>45559</v>
      </c>
      <c r="B210" t="s">
        <v>9</v>
      </c>
      <c r="C210" t="s">
        <v>17</v>
      </c>
      <c r="D210" t="s">
        <v>11</v>
      </c>
      <c r="E210" t="s">
        <v>23</v>
      </c>
      <c r="F210" t="s">
        <v>13</v>
      </c>
      <c r="G210">
        <v>20</v>
      </c>
      <c r="H210" s="2">
        <v>1.97</v>
      </c>
      <c r="I210" s="2">
        <v>10.54</v>
      </c>
    </row>
    <row r="211" spans="1:9" x14ac:dyDescent="0.3">
      <c r="A211" s="1">
        <v>45400</v>
      </c>
      <c r="B211" t="s">
        <v>28</v>
      </c>
      <c r="C211" t="s">
        <v>31</v>
      </c>
      <c r="D211" t="s">
        <v>11</v>
      </c>
      <c r="E211" t="s">
        <v>29</v>
      </c>
      <c r="F211" t="s">
        <v>19</v>
      </c>
      <c r="G211">
        <v>14</v>
      </c>
      <c r="H211" s="2">
        <v>2.09</v>
      </c>
      <c r="I211" s="2">
        <v>25.08</v>
      </c>
    </row>
    <row r="212" spans="1:9" x14ac:dyDescent="0.3">
      <c r="A212" s="1">
        <v>45463</v>
      </c>
      <c r="B212" t="s">
        <v>14</v>
      </c>
      <c r="C212" t="s">
        <v>10</v>
      </c>
      <c r="D212" t="s">
        <v>11</v>
      </c>
      <c r="E212" t="s">
        <v>23</v>
      </c>
      <c r="F212" t="s">
        <v>21</v>
      </c>
      <c r="G212">
        <v>16</v>
      </c>
      <c r="H212" s="2">
        <v>2</v>
      </c>
      <c r="I212" s="2">
        <v>12.88</v>
      </c>
    </row>
    <row r="213" spans="1:9" x14ac:dyDescent="0.3">
      <c r="A213" s="1">
        <v>45360</v>
      </c>
      <c r="B213" t="s">
        <v>22</v>
      </c>
      <c r="C213" t="s">
        <v>24</v>
      </c>
      <c r="D213" t="s">
        <v>11</v>
      </c>
      <c r="E213" t="s">
        <v>29</v>
      </c>
      <c r="F213" t="s">
        <v>19</v>
      </c>
      <c r="G213">
        <v>14</v>
      </c>
      <c r="H213" s="2">
        <v>1.78</v>
      </c>
      <c r="I213" s="2">
        <v>20.6</v>
      </c>
    </row>
    <row r="214" spans="1:9" x14ac:dyDescent="0.3">
      <c r="A214" s="1">
        <v>45459</v>
      </c>
      <c r="B214" t="s">
        <v>22</v>
      </c>
      <c r="C214" t="s">
        <v>15</v>
      </c>
      <c r="D214" t="s">
        <v>11</v>
      </c>
      <c r="E214" t="s">
        <v>20</v>
      </c>
      <c r="F214" t="s">
        <v>25</v>
      </c>
      <c r="G214">
        <v>18</v>
      </c>
      <c r="H214" s="2">
        <v>1.84</v>
      </c>
      <c r="I214" s="2">
        <v>3.58</v>
      </c>
    </row>
    <row r="215" spans="1:9" x14ac:dyDescent="0.3">
      <c r="A215" s="1">
        <v>45295</v>
      </c>
      <c r="B215" t="s">
        <v>27</v>
      </c>
      <c r="C215" t="s">
        <v>26</v>
      </c>
      <c r="D215" t="s">
        <v>11</v>
      </c>
      <c r="E215" t="s">
        <v>29</v>
      </c>
      <c r="F215" t="s">
        <v>19</v>
      </c>
      <c r="G215">
        <v>14</v>
      </c>
      <c r="H215" s="2">
        <v>1.91</v>
      </c>
      <c r="I215" s="2">
        <v>22.1</v>
      </c>
    </row>
    <row r="216" spans="1:9" x14ac:dyDescent="0.3">
      <c r="A216" s="1">
        <v>45556</v>
      </c>
      <c r="B216" t="s">
        <v>9</v>
      </c>
      <c r="C216" t="s">
        <v>26</v>
      </c>
      <c r="D216" t="s">
        <v>11</v>
      </c>
      <c r="E216" t="s">
        <v>20</v>
      </c>
      <c r="F216" t="s">
        <v>19</v>
      </c>
      <c r="G216">
        <v>14</v>
      </c>
      <c r="H216" s="2">
        <v>2.04</v>
      </c>
      <c r="I216" s="2">
        <v>6.41</v>
      </c>
    </row>
    <row r="217" spans="1:9" x14ac:dyDescent="0.3">
      <c r="A217" s="1">
        <v>45403</v>
      </c>
      <c r="B217" t="s">
        <v>28</v>
      </c>
      <c r="C217" t="s">
        <v>10</v>
      </c>
      <c r="D217" t="s">
        <v>11</v>
      </c>
      <c r="E217" t="s">
        <v>23</v>
      </c>
      <c r="F217" t="s">
        <v>21</v>
      </c>
      <c r="G217">
        <v>16</v>
      </c>
      <c r="H217" s="2">
        <v>1.88</v>
      </c>
      <c r="I217" s="2">
        <v>11.75</v>
      </c>
    </row>
    <row r="218" spans="1:9" x14ac:dyDescent="0.3">
      <c r="A218" s="1">
        <v>45337</v>
      </c>
      <c r="B218" t="s">
        <v>28</v>
      </c>
      <c r="C218" t="s">
        <v>26</v>
      </c>
      <c r="D218" t="s">
        <v>11</v>
      </c>
      <c r="E218" t="s">
        <v>18</v>
      </c>
      <c r="F218" t="s">
        <v>13</v>
      </c>
      <c r="G218">
        <v>20</v>
      </c>
      <c r="H218" s="2">
        <v>1.84</v>
      </c>
      <c r="I218" s="2">
        <v>6.99</v>
      </c>
    </row>
    <row r="219" spans="1:9" x14ac:dyDescent="0.3">
      <c r="A219" s="1">
        <v>45632</v>
      </c>
      <c r="B219" t="s">
        <v>9</v>
      </c>
      <c r="C219" t="s">
        <v>31</v>
      </c>
      <c r="D219" t="s">
        <v>11</v>
      </c>
      <c r="E219" t="s">
        <v>16</v>
      </c>
      <c r="F219" t="s">
        <v>13</v>
      </c>
      <c r="G219">
        <v>20</v>
      </c>
      <c r="H219" s="2">
        <v>1.87</v>
      </c>
      <c r="I219" s="2">
        <v>3.55</v>
      </c>
    </row>
    <row r="220" spans="1:9" x14ac:dyDescent="0.3">
      <c r="A220" s="1">
        <v>45372</v>
      </c>
      <c r="B220" t="s">
        <v>27</v>
      </c>
      <c r="C220" t="s">
        <v>26</v>
      </c>
      <c r="D220" t="s">
        <v>11</v>
      </c>
      <c r="E220" t="s">
        <v>20</v>
      </c>
      <c r="F220" t="s">
        <v>21</v>
      </c>
      <c r="G220">
        <v>16</v>
      </c>
      <c r="H220" s="2">
        <v>1.91</v>
      </c>
      <c r="I220" s="2">
        <v>4.42</v>
      </c>
    </row>
    <row r="221" spans="1:9" x14ac:dyDescent="0.3">
      <c r="A221" s="1">
        <v>45621</v>
      </c>
      <c r="B221" t="s">
        <v>28</v>
      </c>
      <c r="C221" t="s">
        <v>17</v>
      </c>
      <c r="D221" t="s">
        <v>11</v>
      </c>
      <c r="E221" t="s">
        <v>12</v>
      </c>
      <c r="F221" t="s">
        <v>21</v>
      </c>
      <c r="G221">
        <v>16</v>
      </c>
      <c r="H221" s="2">
        <v>2.0499999999999998</v>
      </c>
      <c r="I221" s="2">
        <v>11.66</v>
      </c>
    </row>
    <row r="222" spans="1:9" x14ac:dyDescent="0.3">
      <c r="A222" s="1">
        <v>45426</v>
      </c>
      <c r="B222" t="s">
        <v>9</v>
      </c>
      <c r="C222" t="s">
        <v>31</v>
      </c>
      <c r="D222" t="s">
        <v>11</v>
      </c>
      <c r="E222" t="s">
        <v>23</v>
      </c>
      <c r="F222" t="s">
        <v>19</v>
      </c>
      <c r="G222">
        <v>14</v>
      </c>
      <c r="H222" s="2">
        <v>1.79</v>
      </c>
      <c r="I222" s="2">
        <v>12.91</v>
      </c>
    </row>
    <row r="223" spans="1:9" x14ac:dyDescent="0.3">
      <c r="A223" s="1">
        <v>45617</v>
      </c>
      <c r="B223" t="s">
        <v>14</v>
      </c>
      <c r="C223" t="s">
        <v>15</v>
      </c>
      <c r="D223" t="s">
        <v>11</v>
      </c>
      <c r="E223" t="s">
        <v>23</v>
      </c>
      <c r="F223" t="s">
        <v>21</v>
      </c>
      <c r="G223">
        <v>16</v>
      </c>
      <c r="H223" s="2">
        <v>2.06</v>
      </c>
      <c r="I223" s="2">
        <v>12.49</v>
      </c>
    </row>
    <row r="224" spans="1:9" x14ac:dyDescent="0.3">
      <c r="A224" s="1">
        <v>45450</v>
      </c>
      <c r="B224" t="s">
        <v>22</v>
      </c>
      <c r="C224" t="s">
        <v>26</v>
      </c>
      <c r="D224" t="s">
        <v>11</v>
      </c>
      <c r="E224" t="s">
        <v>30</v>
      </c>
      <c r="F224" t="s">
        <v>19</v>
      </c>
      <c r="G224">
        <v>14</v>
      </c>
      <c r="H224" s="2">
        <v>1.98</v>
      </c>
      <c r="I224" s="2">
        <v>14.99</v>
      </c>
    </row>
    <row r="225" spans="1:9" x14ac:dyDescent="0.3">
      <c r="A225" s="1">
        <v>45443</v>
      </c>
      <c r="B225" t="s">
        <v>28</v>
      </c>
      <c r="C225" t="s">
        <v>10</v>
      </c>
      <c r="D225" t="s">
        <v>11</v>
      </c>
      <c r="E225" t="s">
        <v>12</v>
      </c>
      <c r="F225" t="s">
        <v>21</v>
      </c>
      <c r="G225">
        <v>16</v>
      </c>
      <c r="H225" s="2">
        <v>1.83</v>
      </c>
      <c r="I225" s="2">
        <v>10.18</v>
      </c>
    </row>
    <row r="226" spans="1:9" x14ac:dyDescent="0.3">
      <c r="A226" s="1">
        <v>45371</v>
      </c>
      <c r="B226" t="s">
        <v>14</v>
      </c>
      <c r="C226" t="s">
        <v>17</v>
      </c>
      <c r="D226" t="s">
        <v>11</v>
      </c>
      <c r="E226" t="s">
        <v>16</v>
      </c>
      <c r="F226" t="s">
        <v>19</v>
      </c>
      <c r="G226">
        <v>14</v>
      </c>
      <c r="H226" s="2">
        <v>2.0299999999999998</v>
      </c>
      <c r="I226" s="2">
        <v>5.8</v>
      </c>
    </row>
    <row r="227" spans="1:9" x14ac:dyDescent="0.3">
      <c r="A227" s="1">
        <v>45608</v>
      </c>
      <c r="B227" t="s">
        <v>14</v>
      </c>
      <c r="C227" t="s">
        <v>31</v>
      </c>
      <c r="D227" t="s">
        <v>11</v>
      </c>
      <c r="E227" t="s">
        <v>30</v>
      </c>
      <c r="F227" t="s">
        <v>25</v>
      </c>
      <c r="G227">
        <v>18</v>
      </c>
      <c r="H227" s="2">
        <v>1.81</v>
      </c>
      <c r="I227" s="2">
        <v>11.26</v>
      </c>
    </row>
    <row r="228" spans="1:9" x14ac:dyDescent="0.3">
      <c r="A228" s="1">
        <v>45540</v>
      </c>
      <c r="B228" t="s">
        <v>27</v>
      </c>
      <c r="C228" t="s">
        <v>24</v>
      </c>
      <c r="D228" t="s">
        <v>11</v>
      </c>
      <c r="E228" t="s">
        <v>18</v>
      </c>
      <c r="F228" t="s">
        <v>19</v>
      </c>
      <c r="G228">
        <v>14</v>
      </c>
      <c r="H228" s="2">
        <v>1.8</v>
      </c>
      <c r="I228" s="2">
        <v>9.26</v>
      </c>
    </row>
    <row r="229" spans="1:9" x14ac:dyDescent="0.3">
      <c r="A229" s="1">
        <v>45517</v>
      </c>
      <c r="B229" t="s">
        <v>28</v>
      </c>
      <c r="C229" t="s">
        <v>31</v>
      </c>
      <c r="D229" t="s">
        <v>11</v>
      </c>
      <c r="E229" t="s">
        <v>29</v>
      </c>
      <c r="F229" t="s">
        <v>21</v>
      </c>
      <c r="G229">
        <v>16</v>
      </c>
      <c r="H229" s="2">
        <v>1.98</v>
      </c>
      <c r="I229" s="2">
        <v>18.809999999999999</v>
      </c>
    </row>
    <row r="230" spans="1:9" x14ac:dyDescent="0.3">
      <c r="A230" s="1">
        <v>45552</v>
      </c>
      <c r="B230" t="s">
        <v>28</v>
      </c>
      <c r="C230" t="s">
        <v>15</v>
      </c>
      <c r="D230" t="s">
        <v>11</v>
      </c>
      <c r="E230" t="s">
        <v>30</v>
      </c>
      <c r="F230" t="s">
        <v>13</v>
      </c>
      <c r="G230">
        <v>20</v>
      </c>
      <c r="H230" s="2">
        <v>1.77</v>
      </c>
      <c r="I230" s="2">
        <v>10.18</v>
      </c>
    </row>
    <row r="231" spans="1:9" x14ac:dyDescent="0.3">
      <c r="A231" s="1">
        <v>45458</v>
      </c>
      <c r="B231" t="s">
        <v>28</v>
      </c>
      <c r="C231" t="s">
        <v>10</v>
      </c>
      <c r="D231" t="s">
        <v>11</v>
      </c>
      <c r="E231" t="s">
        <v>30</v>
      </c>
      <c r="F231" t="s">
        <v>13</v>
      </c>
      <c r="G231">
        <v>20</v>
      </c>
      <c r="H231" s="2">
        <v>1.89</v>
      </c>
      <c r="I231" s="2">
        <v>10.87</v>
      </c>
    </row>
    <row r="232" spans="1:9" x14ac:dyDescent="0.3">
      <c r="A232" s="1">
        <v>45652</v>
      </c>
      <c r="B232" t="s">
        <v>22</v>
      </c>
      <c r="C232" t="s">
        <v>31</v>
      </c>
      <c r="D232" t="s">
        <v>11</v>
      </c>
      <c r="E232" t="s">
        <v>18</v>
      </c>
      <c r="F232" t="s">
        <v>13</v>
      </c>
      <c r="G232">
        <v>20</v>
      </c>
      <c r="H232" s="2">
        <v>1.84</v>
      </c>
      <c r="I232" s="2">
        <v>7.54</v>
      </c>
    </row>
    <row r="233" spans="1:9" x14ac:dyDescent="0.3">
      <c r="A233" s="1">
        <v>45332</v>
      </c>
      <c r="B233" t="s">
        <v>14</v>
      </c>
      <c r="C233" t="s">
        <v>24</v>
      </c>
      <c r="D233" t="s">
        <v>11</v>
      </c>
      <c r="E233" t="s">
        <v>29</v>
      </c>
      <c r="F233" t="s">
        <v>21</v>
      </c>
      <c r="G233">
        <v>16</v>
      </c>
      <c r="H233" s="2">
        <v>1.93</v>
      </c>
      <c r="I233" s="2">
        <v>19.899999999999999</v>
      </c>
    </row>
    <row r="234" spans="1:9" x14ac:dyDescent="0.3">
      <c r="A234" s="1">
        <v>45492</v>
      </c>
      <c r="B234" t="s">
        <v>9</v>
      </c>
      <c r="C234" t="s">
        <v>31</v>
      </c>
      <c r="D234" t="s">
        <v>11</v>
      </c>
      <c r="E234" t="s">
        <v>20</v>
      </c>
      <c r="F234" t="s">
        <v>13</v>
      </c>
      <c r="G234">
        <v>20</v>
      </c>
      <c r="H234" s="2">
        <v>1.93</v>
      </c>
      <c r="I234" s="2">
        <v>3.67</v>
      </c>
    </row>
    <row r="235" spans="1:9" x14ac:dyDescent="0.3">
      <c r="A235" s="1">
        <v>45325</v>
      </c>
      <c r="B235" t="s">
        <v>14</v>
      </c>
      <c r="C235" t="s">
        <v>17</v>
      </c>
      <c r="D235" t="s">
        <v>11</v>
      </c>
      <c r="E235" t="s">
        <v>18</v>
      </c>
      <c r="F235" t="s">
        <v>21</v>
      </c>
      <c r="G235">
        <v>16</v>
      </c>
      <c r="H235" s="2">
        <v>2.1</v>
      </c>
      <c r="I235" s="2">
        <v>10.37</v>
      </c>
    </row>
    <row r="236" spans="1:9" x14ac:dyDescent="0.3">
      <c r="A236" s="1">
        <v>45649</v>
      </c>
      <c r="B236" t="s">
        <v>9</v>
      </c>
      <c r="C236" t="s">
        <v>15</v>
      </c>
      <c r="D236" t="s">
        <v>11</v>
      </c>
      <c r="E236" t="s">
        <v>16</v>
      </c>
      <c r="F236" t="s">
        <v>13</v>
      </c>
      <c r="G236">
        <v>20</v>
      </c>
      <c r="H236" s="2">
        <v>1.89</v>
      </c>
      <c r="I236" s="2">
        <v>4.54</v>
      </c>
    </row>
    <row r="237" spans="1:9" x14ac:dyDescent="0.3">
      <c r="A237" s="1">
        <v>45391</v>
      </c>
      <c r="B237" t="s">
        <v>14</v>
      </c>
      <c r="C237" t="s">
        <v>15</v>
      </c>
      <c r="D237" t="s">
        <v>11</v>
      </c>
      <c r="E237" t="s">
        <v>18</v>
      </c>
      <c r="F237" t="s">
        <v>25</v>
      </c>
      <c r="G237">
        <v>18</v>
      </c>
      <c r="H237" s="2">
        <v>1.86</v>
      </c>
      <c r="I237" s="2">
        <v>7.03</v>
      </c>
    </row>
    <row r="238" spans="1:9" x14ac:dyDescent="0.3">
      <c r="A238" s="1">
        <v>45418</v>
      </c>
      <c r="B238" t="s">
        <v>14</v>
      </c>
      <c r="C238" t="s">
        <v>24</v>
      </c>
      <c r="D238" t="s">
        <v>11</v>
      </c>
      <c r="E238" t="s">
        <v>16</v>
      </c>
      <c r="F238" t="s">
        <v>25</v>
      </c>
      <c r="G238">
        <v>18</v>
      </c>
      <c r="H238" s="2">
        <v>1.78</v>
      </c>
      <c r="I238" s="2">
        <v>5.24</v>
      </c>
    </row>
    <row r="239" spans="1:9" x14ac:dyDescent="0.3">
      <c r="A239" s="1">
        <v>45502</v>
      </c>
      <c r="B239" t="s">
        <v>14</v>
      </c>
      <c r="C239" t="s">
        <v>15</v>
      </c>
      <c r="D239" t="s">
        <v>11</v>
      </c>
      <c r="E239" t="s">
        <v>20</v>
      </c>
      <c r="F239" t="s">
        <v>21</v>
      </c>
      <c r="G239">
        <v>16</v>
      </c>
      <c r="H239" s="2">
        <v>1.97</v>
      </c>
      <c r="I239" s="2">
        <v>5.54</v>
      </c>
    </row>
    <row r="240" spans="1:9" x14ac:dyDescent="0.3">
      <c r="A240" s="1">
        <v>45459</v>
      </c>
      <c r="B240" t="s">
        <v>14</v>
      </c>
      <c r="C240" t="s">
        <v>15</v>
      </c>
      <c r="D240" t="s">
        <v>11</v>
      </c>
      <c r="E240" t="s">
        <v>18</v>
      </c>
      <c r="F240" t="s">
        <v>25</v>
      </c>
      <c r="G240">
        <v>18</v>
      </c>
      <c r="H240" s="2">
        <v>1.93</v>
      </c>
      <c r="I240" s="2">
        <v>7.18</v>
      </c>
    </row>
    <row r="241" spans="1:9" x14ac:dyDescent="0.3">
      <c r="A241" s="1">
        <v>45537</v>
      </c>
      <c r="B241" t="s">
        <v>9</v>
      </c>
      <c r="C241" t="s">
        <v>31</v>
      </c>
      <c r="D241" t="s">
        <v>11</v>
      </c>
      <c r="E241" t="s">
        <v>29</v>
      </c>
      <c r="F241" t="s">
        <v>19</v>
      </c>
      <c r="G241">
        <v>14</v>
      </c>
      <c r="H241" s="2">
        <v>1.84</v>
      </c>
      <c r="I241" s="2">
        <v>21.55</v>
      </c>
    </row>
    <row r="242" spans="1:9" x14ac:dyDescent="0.3">
      <c r="A242" s="1">
        <v>45646</v>
      </c>
      <c r="B242" t="s">
        <v>14</v>
      </c>
      <c r="C242" t="s">
        <v>17</v>
      </c>
      <c r="D242" t="s">
        <v>11</v>
      </c>
      <c r="E242" t="s">
        <v>18</v>
      </c>
      <c r="F242" t="s">
        <v>25</v>
      </c>
      <c r="G242">
        <v>18</v>
      </c>
      <c r="H242" s="2">
        <v>1.82</v>
      </c>
      <c r="I242" s="2">
        <v>8.2899999999999991</v>
      </c>
    </row>
    <row r="243" spans="1:9" x14ac:dyDescent="0.3">
      <c r="A243" s="1">
        <v>45387</v>
      </c>
      <c r="B243" t="s">
        <v>27</v>
      </c>
      <c r="C243" t="s">
        <v>26</v>
      </c>
      <c r="D243" t="s">
        <v>11</v>
      </c>
      <c r="E243" t="s">
        <v>16</v>
      </c>
      <c r="F243" t="s">
        <v>19</v>
      </c>
      <c r="G243">
        <v>14</v>
      </c>
      <c r="H243" s="2">
        <v>2.02</v>
      </c>
      <c r="I243" s="2">
        <v>6.49</v>
      </c>
    </row>
    <row r="244" spans="1:9" x14ac:dyDescent="0.3">
      <c r="A244" s="1">
        <v>45374</v>
      </c>
      <c r="B244" t="s">
        <v>9</v>
      </c>
      <c r="C244" t="s">
        <v>15</v>
      </c>
      <c r="D244" t="s">
        <v>11</v>
      </c>
      <c r="E244" t="s">
        <v>23</v>
      </c>
      <c r="F244" t="s">
        <v>25</v>
      </c>
      <c r="G244">
        <v>18</v>
      </c>
      <c r="H244" s="2">
        <v>1.87</v>
      </c>
      <c r="I244" s="2">
        <v>10.91</v>
      </c>
    </row>
    <row r="245" spans="1:9" x14ac:dyDescent="0.3">
      <c r="A245" s="1">
        <v>45497</v>
      </c>
      <c r="B245" t="s">
        <v>14</v>
      </c>
      <c r="C245" t="s">
        <v>17</v>
      </c>
      <c r="D245" t="s">
        <v>11</v>
      </c>
      <c r="E245" t="s">
        <v>20</v>
      </c>
      <c r="F245" t="s">
        <v>21</v>
      </c>
      <c r="G245">
        <v>16</v>
      </c>
      <c r="H245" s="2">
        <v>2.04</v>
      </c>
      <c r="I245" s="2">
        <v>4.08</v>
      </c>
    </row>
    <row r="246" spans="1:9" x14ac:dyDescent="0.3">
      <c r="A246" s="1">
        <v>45494</v>
      </c>
      <c r="B246" t="s">
        <v>9</v>
      </c>
      <c r="C246" t="s">
        <v>15</v>
      </c>
      <c r="D246" t="s">
        <v>11</v>
      </c>
      <c r="E246" t="s">
        <v>18</v>
      </c>
      <c r="F246" t="s">
        <v>19</v>
      </c>
      <c r="G246">
        <v>14</v>
      </c>
      <c r="H246" s="2">
        <v>1.94</v>
      </c>
      <c r="I246" s="2">
        <v>9.56</v>
      </c>
    </row>
    <row r="247" spans="1:9" x14ac:dyDescent="0.3">
      <c r="A247" s="1">
        <v>45518</v>
      </c>
      <c r="B247" t="s">
        <v>9</v>
      </c>
      <c r="C247" t="s">
        <v>31</v>
      </c>
      <c r="D247" t="s">
        <v>11</v>
      </c>
      <c r="E247" t="s">
        <v>16</v>
      </c>
      <c r="F247" t="s">
        <v>19</v>
      </c>
      <c r="G247">
        <v>14</v>
      </c>
      <c r="H247" s="2">
        <v>2.1</v>
      </c>
      <c r="I247" s="2">
        <v>6</v>
      </c>
    </row>
    <row r="248" spans="1:9" x14ac:dyDescent="0.3">
      <c r="A248" s="1">
        <v>45571</v>
      </c>
      <c r="B248" t="s">
        <v>27</v>
      </c>
      <c r="C248" t="s">
        <v>26</v>
      </c>
      <c r="D248" t="s">
        <v>11</v>
      </c>
      <c r="E248" t="s">
        <v>20</v>
      </c>
      <c r="F248" t="s">
        <v>19</v>
      </c>
      <c r="G248">
        <v>14</v>
      </c>
      <c r="H248" s="2">
        <v>1.75</v>
      </c>
      <c r="I248" s="2">
        <v>6.12</v>
      </c>
    </row>
    <row r="249" spans="1:9" x14ac:dyDescent="0.3">
      <c r="A249" s="1">
        <v>45420</v>
      </c>
      <c r="B249" t="s">
        <v>28</v>
      </c>
      <c r="C249" t="s">
        <v>31</v>
      </c>
      <c r="D249" t="s">
        <v>11</v>
      </c>
      <c r="E249" t="s">
        <v>16</v>
      </c>
      <c r="F249" t="s">
        <v>13</v>
      </c>
      <c r="G249">
        <v>20</v>
      </c>
      <c r="H249" s="2">
        <v>2</v>
      </c>
      <c r="I249" s="2">
        <v>4</v>
      </c>
    </row>
    <row r="250" spans="1:9" x14ac:dyDescent="0.3">
      <c r="A250" s="1">
        <v>45419</v>
      </c>
      <c r="B250" t="s">
        <v>9</v>
      </c>
      <c r="C250" t="s">
        <v>17</v>
      </c>
      <c r="D250" t="s">
        <v>11</v>
      </c>
      <c r="E250" t="s">
        <v>30</v>
      </c>
      <c r="F250" t="s">
        <v>21</v>
      </c>
      <c r="G250">
        <v>16</v>
      </c>
      <c r="H250" s="2">
        <v>1.76</v>
      </c>
      <c r="I250" s="2">
        <v>13.53</v>
      </c>
    </row>
    <row r="251" spans="1:9" x14ac:dyDescent="0.3">
      <c r="A251" s="1">
        <v>45412</v>
      </c>
      <c r="B251" t="s">
        <v>28</v>
      </c>
      <c r="C251" t="s">
        <v>17</v>
      </c>
      <c r="D251" t="s">
        <v>11</v>
      </c>
      <c r="E251" t="s">
        <v>29</v>
      </c>
      <c r="F251" t="s">
        <v>21</v>
      </c>
      <c r="G251">
        <v>16</v>
      </c>
      <c r="H251" s="2">
        <v>1.98</v>
      </c>
      <c r="I251" s="2">
        <v>18.809999999999999</v>
      </c>
    </row>
    <row r="252" spans="1:9" x14ac:dyDescent="0.3">
      <c r="A252" s="1">
        <v>45298</v>
      </c>
      <c r="B252" t="s">
        <v>9</v>
      </c>
      <c r="C252" t="s">
        <v>15</v>
      </c>
      <c r="D252" t="s">
        <v>11</v>
      </c>
      <c r="E252" t="s">
        <v>18</v>
      </c>
      <c r="F252" t="s">
        <v>19</v>
      </c>
      <c r="G252">
        <v>14</v>
      </c>
      <c r="H252" s="2">
        <v>1.88</v>
      </c>
      <c r="I252" s="2">
        <v>10.74</v>
      </c>
    </row>
    <row r="253" spans="1:9" x14ac:dyDescent="0.3">
      <c r="A253" s="1">
        <v>45349</v>
      </c>
      <c r="B253" t="s">
        <v>14</v>
      </c>
      <c r="C253" t="s">
        <v>24</v>
      </c>
      <c r="D253" t="s">
        <v>11</v>
      </c>
      <c r="E253" t="s">
        <v>23</v>
      </c>
      <c r="F253" t="s">
        <v>21</v>
      </c>
      <c r="G253">
        <v>16</v>
      </c>
      <c r="H253" s="2">
        <v>2.09</v>
      </c>
      <c r="I253" s="2">
        <v>13.45</v>
      </c>
    </row>
    <row r="254" spans="1:9" x14ac:dyDescent="0.3">
      <c r="A254" s="1">
        <v>45561</v>
      </c>
      <c r="B254" t="s">
        <v>9</v>
      </c>
      <c r="C254" t="s">
        <v>17</v>
      </c>
      <c r="D254" t="s">
        <v>11</v>
      </c>
      <c r="E254" t="s">
        <v>23</v>
      </c>
      <c r="F254" t="s">
        <v>13</v>
      </c>
      <c r="G254">
        <v>20</v>
      </c>
      <c r="H254" s="2">
        <v>2.06</v>
      </c>
      <c r="I254" s="2">
        <v>9.3699999999999992</v>
      </c>
    </row>
    <row r="255" spans="1:9" x14ac:dyDescent="0.3">
      <c r="A255" s="1">
        <v>45469</v>
      </c>
      <c r="B255" t="s">
        <v>28</v>
      </c>
      <c r="C255" t="s">
        <v>31</v>
      </c>
      <c r="D255" t="s">
        <v>11</v>
      </c>
      <c r="E255" t="s">
        <v>23</v>
      </c>
      <c r="F255" t="s">
        <v>21</v>
      </c>
      <c r="G255">
        <v>16</v>
      </c>
      <c r="H255" s="2">
        <v>2.04</v>
      </c>
      <c r="I255" s="2">
        <v>12.62</v>
      </c>
    </row>
    <row r="256" spans="1:9" x14ac:dyDescent="0.3">
      <c r="A256" s="1">
        <v>45604</v>
      </c>
      <c r="B256" t="s">
        <v>27</v>
      </c>
      <c r="C256" t="s">
        <v>31</v>
      </c>
      <c r="D256" t="s">
        <v>11</v>
      </c>
      <c r="E256" t="s">
        <v>23</v>
      </c>
      <c r="F256" t="s">
        <v>25</v>
      </c>
      <c r="G256">
        <v>18</v>
      </c>
      <c r="H256" s="2">
        <v>2.06</v>
      </c>
      <c r="I256" s="2">
        <v>11.56</v>
      </c>
    </row>
    <row r="257" spans="1:9" x14ac:dyDescent="0.3">
      <c r="A257" s="1">
        <v>45638</v>
      </c>
      <c r="B257" t="s">
        <v>14</v>
      </c>
      <c r="C257" t="s">
        <v>26</v>
      </c>
      <c r="D257" t="s">
        <v>11</v>
      </c>
      <c r="E257" t="s">
        <v>12</v>
      </c>
      <c r="F257" t="s">
        <v>21</v>
      </c>
      <c r="G257">
        <v>16</v>
      </c>
      <c r="H257" s="2">
        <v>1.87</v>
      </c>
      <c r="I257" s="2">
        <v>9.58</v>
      </c>
    </row>
    <row r="258" spans="1:9" x14ac:dyDescent="0.3">
      <c r="A258" s="1">
        <v>45645</v>
      </c>
      <c r="B258" t="s">
        <v>28</v>
      </c>
      <c r="C258" t="s">
        <v>15</v>
      </c>
      <c r="D258" t="s">
        <v>11</v>
      </c>
      <c r="E258" t="s">
        <v>12</v>
      </c>
      <c r="F258" t="s">
        <v>19</v>
      </c>
      <c r="G258">
        <v>14</v>
      </c>
      <c r="H258" s="2">
        <v>1.95</v>
      </c>
      <c r="I258" s="2">
        <v>12.95</v>
      </c>
    </row>
    <row r="259" spans="1:9" x14ac:dyDescent="0.3">
      <c r="A259" s="1">
        <v>45364</v>
      </c>
      <c r="B259" t="s">
        <v>28</v>
      </c>
      <c r="C259" t="s">
        <v>24</v>
      </c>
      <c r="D259" t="s">
        <v>11</v>
      </c>
      <c r="E259" t="s">
        <v>20</v>
      </c>
      <c r="F259" t="s">
        <v>19</v>
      </c>
      <c r="G259">
        <v>14</v>
      </c>
      <c r="H259" s="2">
        <v>2.02</v>
      </c>
      <c r="I259" s="2">
        <v>6.06</v>
      </c>
    </row>
    <row r="260" spans="1:9" x14ac:dyDescent="0.3">
      <c r="A260" s="1">
        <v>45364</v>
      </c>
      <c r="B260" t="s">
        <v>22</v>
      </c>
      <c r="C260" t="s">
        <v>26</v>
      </c>
      <c r="D260" t="s">
        <v>11</v>
      </c>
      <c r="E260" t="s">
        <v>18</v>
      </c>
      <c r="F260" t="s">
        <v>25</v>
      </c>
      <c r="G260">
        <v>18</v>
      </c>
      <c r="H260" s="2">
        <v>1.89</v>
      </c>
      <c r="I260" s="2">
        <v>7.04</v>
      </c>
    </row>
    <row r="261" spans="1:9" x14ac:dyDescent="0.3">
      <c r="A261" s="1">
        <v>45532</v>
      </c>
      <c r="B261" t="s">
        <v>9</v>
      </c>
      <c r="C261" t="s">
        <v>15</v>
      </c>
      <c r="D261" t="s">
        <v>11</v>
      </c>
      <c r="E261" t="s">
        <v>23</v>
      </c>
      <c r="F261" t="s">
        <v>19</v>
      </c>
      <c r="G261">
        <v>14</v>
      </c>
      <c r="H261" s="2">
        <v>2.08</v>
      </c>
      <c r="I261" s="2">
        <v>14.86</v>
      </c>
    </row>
    <row r="262" spans="1:9" x14ac:dyDescent="0.3">
      <c r="A262" s="1">
        <v>45466</v>
      </c>
      <c r="B262" t="s">
        <v>27</v>
      </c>
      <c r="C262" t="s">
        <v>24</v>
      </c>
      <c r="D262" t="s">
        <v>11</v>
      </c>
      <c r="E262" t="s">
        <v>29</v>
      </c>
      <c r="F262" t="s">
        <v>25</v>
      </c>
      <c r="G262">
        <v>18</v>
      </c>
      <c r="H262" s="2">
        <v>1.82</v>
      </c>
      <c r="I262" s="2">
        <v>16.38</v>
      </c>
    </row>
    <row r="263" spans="1:9" x14ac:dyDescent="0.3">
      <c r="A263" s="1">
        <v>45417</v>
      </c>
      <c r="B263" t="s">
        <v>14</v>
      </c>
      <c r="C263" t="s">
        <v>17</v>
      </c>
      <c r="D263" t="s">
        <v>11</v>
      </c>
      <c r="E263" t="s">
        <v>23</v>
      </c>
      <c r="F263" t="s">
        <v>13</v>
      </c>
      <c r="G263">
        <v>20</v>
      </c>
      <c r="H263" s="2">
        <v>1.89</v>
      </c>
      <c r="I263" s="2">
        <v>10.11</v>
      </c>
    </row>
    <row r="264" spans="1:9" x14ac:dyDescent="0.3">
      <c r="A264" s="1">
        <v>45604</v>
      </c>
      <c r="B264" t="s">
        <v>27</v>
      </c>
      <c r="C264" t="s">
        <v>15</v>
      </c>
      <c r="D264" t="s">
        <v>11</v>
      </c>
      <c r="E264" t="s">
        <v>23</v>
      </c>
      <c r="F264" t="s">
        <v>21</v>
      </c>
      <c r="G264">
        <v>16</v>
      </c>
      <c r="H264" s="2">
        <v>2.1</v>
      </c>
      <c r="I264" s="2">
        <v>13.12</v>
      </c>
    </row>
    <row r="265" spans="1:9" x14ac:dyDescent="0.3">
      <c r="A265" s="1">
        <v>45468</v>
      </c>
      <c r="B265" t="s">
        <v>9</v>
      </c>
      <c r="C265" t="s">
        <v>26</v>
      </c>
      <c r="D265" t="s">
        <v>11</v>
      </c>
      <c r="E265" t="s">
        <v>23</v>
      </c>
      <c r="F265" t="s">
        <v>13</v>
      </c>
      <c r="G265">
        <v>20</v>
      </c>
      <c r="H265" s="2">
        <v>1.77</v>
      </c>
      <c r="I265" s="2">
        <v>8.0500000000000007</v>
      </c>
    </row>
    <row r="266" spans="1:9" x14ac:dyDescent="0.3">
      <c r="A266" s="1">
        <v>45304</v>
      </c>
      <c r="B266" t="s">
        <v>9</v>
      </c>
      <c r="C266" t="s">
        <v>31</v>
      </c>
      <c r="D266" t="s">
        <v>11</v>
      </c>
      <c r="E266" t="s">
        <v>12</v>
      </c>
      <c r="F266" t="s">
        <v>21</v>
      </c>
      <c r="G266">
        <v>16</v>
      </c>
      <c r="H266" s="2">
        <v>2.02</v>
      </c>
      <c r="I266" s="2">
        <v>11.24</v>
      </c>
    </row>
    <row r="267" spans="1:9" x14ac:dyDescent="0.3">
      <c r="A267" s="1">
        <v>45640</v>
      </c>
      <c r="B267" t="s">
        <v>9</v>
      </c>
      <c r="C267" t="s">
        <v>26</v>
      </c>
      <c r="D267" t="s">
        <v>11</v>
      </c>
      <c r="E267" t="s">
        <v>20</v>
      </c>
      <c r="F267" t="s">
        <v>19</v>
      </c>
      <c r="G267">
        <v>14</v>
      </c>
      <c r="H267" s="2">
        <v>1.97</v>
      </c>
      <c r="I267" s="2">
        <v>4.78</v>
      </c>
    </row>
    <row r="268" spans="1:9" x14ac:dyDescent="0.3">
      <c r="A268" s="1">
        <v>45421</v>
      </c>
      <c r="B268" t="s">
        <v>28</v>
      </c>
      <c r="C268" t="s">
        <v>24</v>
      </c>
      <c r="D268" t="s">
        <v>11</v>
      </c>
      <c r="E268" t="s">
        <v>29</v>
      </c>
      <c r="F268" t="s">
        <v>19</v>
      </c>
      <c r="G268">
        <v>14</v>
      </c>
      <c r="H268" s="2">
        <v>1.91</v>
      </c>
      <c r="I268" s="2">
        <v>22.78</v>
      </c>
    </row>
    <row r="269" spans="1:9" x14ac:dyDescent="0.3">
      <c r="A269" s="1">
        <v>45612</v>
      </c>
      <c r="B269" t="s">
        <v>28</v>
      </c>
      <c r="C269" t="s">
        <v>15</v>
      </c>
      <c r="D269" t="s">
        <v>11</v>
      </c>
      <c r="E269" t="s">
        <v>18</v>
      </c>
      <c r="F269" t="s">
        <v>25</v>
      </c>
      <c r="G269">
        <v>18</v>
      </c>
      <c r="H269" s="2">
        <v>2.0099999999999998</v>
      </c>
      <c r="I269" s="2">
        <v>8.0399999999999991</v>
      </c>
    </row>
    <row r="270" spans="1:9" x14ac:dyDescent="0.3">
      <c r="A270" s="1">
        <v>45383</v>
      </c>
      <c r="B270" t="s">
        <v>14</v>
      </c>
      <c r="C270" t="s">
        <v>15</v>
      </c>
      <c r="D270" t="s">
        <v>11</v>
      </c>
      <c r="E270" t="s">
        <v>20</v>
      </c>
      <c r="F270" t="s">
        <v>25</v>
      </c>
      <c r="G270">
        <v>18</v>
      </c>
      <c r="H270" s="2">
        <v>2.0699999999999998</v>
      </c>
      <c r="I270" s="2">
        <v>4.1399999999999997</v>
      </c>
    </row>
    <row r="271" spans="1:9" x14ac:dyDescent="0.3">
      <c r="A271" s="1">
        <v>45500</v>
      </c>
      <c r="B271" t="s">
        <v>22</v>
      </c>
      <c r="C271" t="s">
        <v>10</v>
      </c>
      <c r="D271" t="s">
        <v>11</v>
      </c>
      <c r="E271" t="s">
        <v>29</v>
      </c>
      <c r="F271" t="s">
        <v>19</v>
      </c>
      <c r="G271">
        <v>14</v>
      </c>
      <c r="H271" s="2">
        <v>1.81</v>
      </c>
      <c r="I271" s="2">
        <v>20.04</v>
      </c>
    </row>
    <row r="272" spans="1:9" x14ac:dyDescent="0.3">
      <c r="A272" s="1">
        <v>45441</v>
      </c>
      <c r="B272" t="s">
        <v>14</v>
      </c>
      <c r="C272" t="s">
        <v>15</v>
      </c>
      <c r="D272" t="s">
        <v>11</v>
      </c>
      <c r="E272" t="s">
        <v>12</v>
      </c>
      <c r="F272" t="s">
        <v>19</v>
      </c>
      <c r="G272">
        <v>14</v>
      </c>
      <c r="H272" s="2">
        <v>1.97</v>
      </c>
      <c r="I272" s="2">
        <v>13.79</v>
      </c>
    </row>
    <row r="273" spans="1:9" x14ac:dyDescent="0.3">
      <c r="A273" s="1">
        <v>45497</v>
      </c>
      <c r="B273" t="s">
        <v>28</v>
      </c>
      <c r="C273" t="s">
        <v>17</v>
      </c>
      <c r="D273" t="s">
        <v>11</v>
      </c>
      <c r="E273" t="s">
        <v>20</v>
      </c>
      <c r="F273" t="s">
        <v>21</v>
      </c>
      <c r="G273">
        <v>16</v>
      </c>
      <c r="H273" s="2">
        <v>1.93</v>
      </c>
      <c r="I273" s="2">
        <v>5.79</v>
      </c>
    </row>
    <row r="274" spans="1:9" x14ac:dyDescent="0.3">
      <c r="A274" s="1">
        <v>45467</v>
      </c>
      <c r="B274" t="s">
        <v>28</v>
      </c>
      <c r="C274" t="s">
        <v>10</v>
      </c>
      <c r="D274" t="s">
        <v>11</v>
      </c>
      <c r="E274" t="s">
        <v>12</v>
      </c>
      <c r="F274" t="s">
        <v>13</v>
      </c>
      <c r="G274">
        <v>20</v>
      </c>
      <c r="H274" s="2">
        <v>2.0299999999999998</v>
      </c>
      <c r="I274" s="2">
        <v>8.2200000000000006</v>
      </c>
    </row>
    <row r="275" spans="1:9" x14ac:dyDescent="0.3">
      <c r="A275" s="1">
        <v>45582</v>
      </c>
      <c r="B275" t="s">
        <v>14</v>
      </c>
      <c r="C275" t="s">
        <v>17</v>
      </c>
      <c r="D275" t="s">
        <v>11</v>
      </c>
      <c r="E275" t="s">
        <v>16</v>
      </c>
      <c r="F275" t="s">
        <v>21</v>
      </c>
      <c r="G275">
        <v>16</v>
      </c>
      <c r="H275" s="2">
        <v>1.88</v>
      </c>
      <c r="I275" s="2">
        <v>4.46</v>
      </c>
    </row>
    <row r="276" spans="1:9" x14ac:dyDescent="0.3">
      <c r="A276" s="1">
        <v>45416</v>
      </c>
      <c r="B276" t="s">
        <v>27</v>
      </c>
      <c r="C276" t="s">
        <v>26</v>
      </c>
      <c r="D276" t="s">
        <v>11</v>
      </c>
      <c r="E276" t="s">
        <v>30</v>
      </c>
      <c r="F276" t="s">
        <v>19</v>
      </c>
      <c r="G276">
        <v>14</v>
      </c>
      <c r="H276" s="2">
        <v>1.99</v>
      </c>
      <c r="I276" s="2">
        <v>15.21</v>
      </c>
    </row>
    <row r="277" spans="1:9" x14ac:dyDescent="0.3">
      <c r="A277" s="1">
        <v>45407</v>
      </c>
      <c r="B277" t="s">
        <v>27</v>
      </c>
      <c r="C277" t="s">
        <v>17</v>
      </c>
      <c r="D277" t="s">
        <v>11</v>
      </c>
      <c r="E277" t="s">
        <v>20</v>
      </c>
      <c r="F277" t="s">
        <v>13</v>
      </c>
      <c r="G277">
        <v>20</v>
      </c>
      <c r="H277" s="2">
        <v>1.87</v>
      </c>
      <c r="I277" s="2">
        <v>2.9</v>
      </c>
    </row>
    <row r="278" spans="1:9" x14ac:dyDescent="0.3">
      <c r="A278" s="1">
        <v>45383</v>
      </c>
      <c r="B278" t="s">
        <v>27</v>
      </c>
      <c r="C278" t="s">
        <v>26</v>
      </c>
      <c r="D278" t="s">
        <v>11</v>
      </c>
      <c r="E278" t="s">
        <v>16</v>
      </c>
      <c r="F278" t="s">
        <v>25</v>
      </c>
      <c r="G278">
        <v>18</v>
      </c>
      <c r="H278" s="2">
        <v>1.95</v>
      </c>
      <c r="I278" s="2">
        <v>5.96</v>
      </c>
    </row>
    <row r="279" spans="1:9" x14ac:dyDescent="0.3">
      <c r="A279" s="1">
        <v>45408</v>
      </c>
      <c r="B279" t="s">
        <v>14</v>
      </c>
      <c r="C279" t="s">
        <v>17</v>
      </c>
      <c r="D279" t="s">
        <v>11</v>
      </c>
      <c r="E279" t="s">
        <v>30</v>
      </c>
      <c r="F279" t="s">
        <v>21</v>
      </c>
      <c r="G279">
        <v>16</v>
      </c>
      <c r="H279" s="2">
        <v>2</v>
      </c>
      <c r="I279" s="2">
        <v>15.62</v>
      </c>
    </row>
    <row r="280" spans="1:9" x14ac:dyDescent="0.3">
      <c r="A280" s="1">
        <v>45468</v>
      </c>
      <c r="B280" t="s">
        <v>28</v>
      </c>
      <c r="C280" t="s">
        <v>15</v>
      </c>
      <c r="D280" t="s">
        <v>11</v>
      </c>
      <c r="E280" t="s">
        <v>30</v>
      </c>
      <c r="F280" t="s">
        <v>21</v>
      </c>
      <c r="G280">
        <v>16</v>
      </c>
      <c r="H280" s="2">
        <v>2.0299999999999998</v>
      </c>
      <c r="I280" s="2">
        <v>14.97</v>
      </c>
    </row>
    <row r="281" spans="1:9" x14ac:dyDescent="0.3">
      <c r="A281" s="1">
        <v>45584</v>
      </c>
      <c r="B281" t="s">
        <v>22</v>
      </c>
      <c r="C281" t="s">
        <v>31</v>
      </c>
      <c r="D281" t="s">
        <v>11</v>
      </c>
      <c r="E281" t="s">
        <v>12</v>
      </c>
      <c r="F281" t="s">
        <v>19</v>
      </c>
      <c r="G281">
        <v>14</v>
      </c>
      <c r="H281" s="2">
        <v>1.85</v>
      </c>
      <c r="I281" s="2">
        <v>11.1</v>
      </c>
    </row>
    <row r="282" spans="1:9" x14ac:dyDescent="0.3">
      <c r="A282" s="1">
        <v>45476</v>
      </c>
      <c r="B282" t="s">
        <v>22</v>
      </c>
      <c r="C282" t="s">
        <v>17</v>
      </c>
      <c r="D282" t="s">
        <v>11</v>
      </c>
      <c r="E282" t="s">
        <v>29</v>
      </c>
      <c r="F282" t="s">
        <v>19</v>
      </c>
      <c r="G282">
        <v>14</v>
      </c>
      <c r="H282" s="2">
        <v>1.99</v>
      </c>
      <c r="I282" s="2">
        <v>23.45</v>
      </c>
    </row>
    <row r="283" spans="1:9" x14ac:dyDescent="0.3">
      <c r="A283" s="1">
        <v>45514</v>
      </c>
      <c r="B283" t="s">
        <v>9</v>
      </c>
      <c r="C283" t="s">
        <v>31</v>
      </c>
      <c r="D283" t="s">
        <v>11</v>
      </c>
      <c r="E283" t="s">
        <v>18</v>
      </c>
      <c r="F283" t="s">
        <v>25</v>
      </c>
      <c r="G283">
        <v>18</v>
      </c>
      <c r="H283" s="2">
        <v>1.85</v>
      </c>
      <c r="I283" s="2">
        <v>6.78</v>
      </c>
    </row>
    <row r="284" spans="1:9" x14ac:dyDescent="0.3">
      <c r="A284" s="1">
        <v>45578</v>
      </c>
      <c r="B284" t="s">
        <v>9</v>
      </c>
      <c r="C284" t="s">
        <v>15</v>
      </c>
      <c r="D284" t="s">
        <v>11</v>
      </c>
      <c r="E284" t="s">
        <v>16</v>
      </c>
      <c r="F284" t="s">
        <v>21</v>
      </c>
      <c r="G284">
        <v>16</v>
      </c>
      <c r="H284" s="2">
        <v>2.02</v>
      </c>
      <c r="I284" s="2">
        <v>4.8</v>
      </c>
    </row>
    <row r="285" spans="1:9" x14ac:dyDescent="0.3">
      <c r="A285" s="1">
        <v>45583</v>
      </c>
      <c r="B285" t="s">
        <v>28</v>
      </c>
      <c r="C285" t="s">
        <v>10</v>
      </c>
      <c r="D285" t="s">
        <v>11</v>
      </c>
      <c r="E285" t="s">
        <v>29</v>
      </c>
      <c r="F285" t="s">
        <v>25</v>
      </c>
      <c r="G285">
        <v>18</v>
      </c>
      <c r="H285" s="2">
        <v>1.77</v>
      </c>
      <c r="I285" s="2">
        <v>15.54</v>
      </c>
    </row>
    <row r="286" spans="1:9" x14ac:dyDescent="0.3">
      <c r="A286" s="1">
        <v>45596</v>
      </c>
      <c r="B286" t="s">
        <v>27</v>
      </c>
      <c r="C286" t="s">
        <v>10</v>
      </c>
      <c r="D286" t="s">
        <v>11</v>
      </c>
      <c r="E286" t="s">
        <v>23</v>
      </c>
      <c r="F286" t="s">
        <v>25</v>
      </c>
      <c r="G286">
        <v>18</v>
      </c>
      <c r="H286" s="2">
        <v>2</v>
      </c>
      <c r="I286" s="2">
        <v>10.11</v>
      </c>
    </row>
    <row r="287" spans="1:9" x14ac:dyDescent="0.3">
      <c r="A287" s="1">
        <v>45410</v>
      </c>
      <c r="B287" t="s">
        <v>14</v>
      </c>
      <c r="C287" t="s">
        <v>17</v>
      </c>
      <c r="D287" t="s">
        <v>11</v>
      </c>
      <c r="E287" t="s">
        <v>29</v>
      </c>
      <c r="F287" t="s">
        <v>21</v>
      </c>
      <c r="G287">
        <v>16</v>
      </c>
      <c r="H287" s="2">
        <v>2.0699999999999998</v>
      </c>
      <c r="I287" s="2">
        <v>21.86</v>
      </c>
    </row>
    <row r="288" spans="1:9" x14ac:dyDescent="0.3">
      <c r="A288" s="1">
        <v>45455</v>
      </c>
      <c r="B288" t="s">
        <v>9</v>
      </c>
      <c r="C288" t="s">
        <v>26</v>
      </c>
      <c r="D288" t="s">
        <v>11</v>
      </c>
      <c r="E288" t="s">
        <v>30</v>
      </c>
      <c r="F288" t="s">
        <v>19</v>
      </c>
      <c r="G288">
        <v>14</v>
      </c>
      <c r="H288" s="2">
        <v>1.97</v>
      </c>
      <c r="I288" s="2">
        <v>17.309999999999999</v>
      </c>
    </row>
    <row r="289" spans="1:9" x14ac:dyDescent="0.3">
      <c r="A289" s="1">
        <v>45358</v>
      </c>
      <c r="B289" t="s">
        <v>9</v>
      </c>
      <c r="C289" t="s">
        <v>17</v>
      </c>
      <c r="D289" t="s">
        <v>11</v>
      </c>
      <c r="E289" t="s">
        <v>18</v>
      </c>
      <c r="F289" t="s">
        <v>19</v>
      </c>
      <c r="G289">
        <v>14</v>
      </c>
      <c r="H289" s="2">
        <v>1.8</v>
      </c>
      <c r="I289" s="2">
        <v>8.8699999999999992</v>
      </c>
    </row>
    <row r="290" spans="1:9" x14ac:dyDescent="0.3">
      <c r="A290" s="1">
        <v>45500</v>
      </c>
      <c r="B290" t="s">
        <v>9</v>
      </c>
      <c r="C290" t="s">
        <v>15</v>
      </c>
      <c r="D290" t="s">
        <v>11</v>
      </c>
      <c r="E290" t="s">
        <v>23</v>
      </c>
      <c r="F290" t="s">
        <v>19</v>
      </c>
      <c r="G290">
        <v>14</v>
      </c>
      <c r="H290" s="2">
        <v>1.91</v>
      </c>
      <c r="I290" s="2">
        <v>14.46</v>
      </c>
    </row>
    <row r="291" spans="1:9" x14ac:dyDescent="0.3">
      <c r="A291" s="1">
        <v>45429</v>
      </c>
      <c r="B291" t="s">
        <v>27</v>
      </c>
      <c r="C291" t="s">
        <v>31</v>
      </c>
      <c r="D291" t="s">
        <v>11</v>
      </c>
      <c r="E291" t="s">
        <v>23</v>
      </c>
      <c r="F291" t="s">
        <v>25</v>
      </c>
      <c r="G291">
        <v>18</v>
      </c>
      <c r="H291" s="2">
        <v>1.94</v>
      </c>
      <c r="I291" s="2">
        <v>9.6999999999999993</v>
      </c>
    </row>
    <row r="292" spans="1:9" x14ac:dyDescent="0.3">
      <c r="A292" s="1">
        <v>45397</v>
      </c>
      <c r="B292" t="s">
        <v>28</v>
      </c>
      <c r="C292" t="s">
        <v>17</v>
      </c>
      <c r="D292" t="s">
        <v>11</v>
      </c>
      <c r="E292" t="s">
        <v>20</v>
      </c>
      <c r="F292" t="s">
        <v>21</v>
      </c>
      <c r="G292">
        <v>16</v>
      </c>
      <c r="H292" s="2">
        <v>1.76</v>
      </c>
      <c r="I292" s="2">
        <v>5.5</v>
      </c>
    </row>
    <row r="293" spans="1:9" x14ac:dyDescent="0.3">
      <c r="A293" s="1">
        <v>45497</v>
      </c>
      <c r="B293" t="s">
        <v>27</v>
      </c>
      <c r="C293" t="s">
        <v>24</v>
      </c>
      <c r="D293" t="s">
        <v>11</v>
      </c>
      <c r="E293" t="s">
        <v>18</v>
      </c>
      <c r="F293" t="s">
        <v>21</v>
      </c>
      <c r="G293">
        <v>16</v>
      </c>
      <c r="H293" s="2">
        <v>2</v>
      </c>
      <c r="I293" s="2">
        <v>8.3800000000000008</v>
      </c>
    </row>
    <row r="294" spans="1:9" x14ac:dyDescent="0.3">
      <c r="A294" s="1">
        <v>45444</v>
      </c>
      <c r="B294" t="s">
        <v>14</v>
      </c>
      <c r="C294" t="s">
        <v>24</v>
      </c>
      <c r="D294" t="s">
        <v>11</v>
      </c>
      <c r="E294" t="s">
        <v>16</v>
      </c>
      <c r="F294" t="s">
        <v>25</v>
      </c>
      <c r="G294">
        <v>18</v>
      </c>
      <c r="H294" s="2">
        <v>2.08</v>
      </c>
      <c r="I294" s="2">
        <v>6.12</v>
      </c>
    </row>
    <row r="295" spans="1:9" x14ac:dyDescent="0.3">
      <c r="A295" s="1">
        <v>45376</v>
      </c>
      <c r="B295" t="s">
        <v>27</v>
      </c>
      <c r="C295" t="s">
        <v>10</v>
      </c>
      <c r="D295" t="s">
        <v>11</v>
      </c>
      <c r="E295" t="s">
        <v>23</v>
      </c>
      <c r="F295" t="s">
        <v>19</v>
      </c>
      <c r="G295">
        <v>14</v>
      </c>
      <c r="H295" s="2">
        <v>1.91</v>
      </c>
      <c r="I295" s="2">
        <v>13.23</v>
      </c>
    </row>
    <row r="296" spans="1:9" x14ac:dyDescent="0.3">
      <c r="A296" s="1">
        <v>45437</v>
      </c>
      <c r="B296" t="s">
        <v>9</v>
      </c>
      <c r="C296" t="s">
        <v>26</v>
      </c>
      <c r="D296" t="s">
        <v>11</v>
      </c>
      <c r="E296" t="s">
        <v>30</v>
      </c>
      <c r="F296" t="s">
        <v>19</v>
      </c>
      <c r="G296">
        <v>14</v>
      </c>
      <c r="H296" s="2">
        <v>2.0499999999999998</v>
      </c>
      <c r="I296" s="2">
        <v>15.52</v>
      </c>
    </row>
    <row r="297" spans="1:9" x14ac:dyDescent="0.3">
      <c r="A297" s="1">
        <v>45598</v>
      </c>
      <c r="B297" t="s">
        <v>14</v>
      </c>
      <c r="C297" t="s">
        <v>17</v>
      </c>
      <c r="D297" t="s">
        <v>11</v>
      </c>
      <c r="E297" t="s">
        <v>23</v>
      </c>
      <c r="F297" t="s">
        <v>25</v>
      </c>
      <c r="G297">
        <v>18</v>
      </c>
      <c r="H297" s="2">
        <v>1.78</v>
      </c>
      <c r="I297" s="2">
        <v>9.3000000000000007</v>
      </c>
    </row>
    <row r="298" spans="1:9" x14ac:dyDescent="0.3">
      <c r="A298" s="1">
        <v>45460</v>
      </c>
      <c r="B298" t="s">
        <v>27</v>
      </c>
      <c r="C298" t="s">
        <v>31</v>
      </c>
      <c r="D298" t="s">
        <v>11</v>
      </c>
      <c r="E298" t="s">
        <v>16</v>
      </c>
      <c r="F298" t="s">
        <v>13</v>
      </c>
      <c r="G298">
        <v>20</v>
      </c>
      <c r="H298" s="2">
        <v>1.77</v>
      </c>
      <c r="I298" s="2">
        <v>4.42</v>
      </c>
    </row>
    <row r="299" spans="1:9" x14ac:dyDescent="0.3">
      <c r="A299" s="1">
        <v>45474</v>
      </c>
      <c r="B299" t="s">
        <v>9</v>
      </c>
      <c r="C299" t="s">
        <v>24</v>
      </c>
      <c r="D299" t="s">
        <v>11</v>
      </c>
      <c r="E299" t="s">
        <v>23</v>
      </c>
      <c r="F299" t="s">
        <v>25</v>
      </c>
      <c r="G299">
        <v>18</v>
      </c>
      <c r="H299" s="2">
        <v>1.9</v>
      </c>
      <c r="I299" s="2">
        <v>10.45</v>
      </c>
    </row>
    <row r="300" spans="1:9" x14ac:dyDescent="0.3">
      <c r="A300" s="1">
        <v>45467</v>
      </c>
      <c r="B300" t="s">
        <v>22</v>
      </c>
      <c r="C300" t="s">
        <v>10</v>
      </c>
      <c r="D300" t="s">
        <v>11</v>
      </c>
      <c r="E300" t="s">
        <v>20</v>
      </c>
      <c r="F300" t="s">
        <v>21</v>
      </c>
      <c r="G300">
        <v>16</v>
      </c>
      <c r="H300" s="2">
        <v>2.0499999999999998</v>
      </c>
      <c r="I300" s="2">
        <v>4.87</v>
      </c>
    </row>
    <row r="301" spans="1:9" x14ac:dyDescent="0.3">
      <c r="A301" s="1">
        <v>45372</v>
      </c>
      <c r="B301" t="s">
        <v>28</v>
      </c>
      <c r="C301" t="s">
        <v>31</v>
      </c>
      <c r="D301" t="s">
        <v>11</v>
      </c>
      <c r="E301" t="s">
        <v>29</v>
      </c>
      <c r="F301" t="s">
        <v>19</v>
      </c>
      <c r="G301">
        <v>14</v>
      </c>
      <c r="H301" s="2">
        <v>1.78</v>
      </c>
      <c r="I301" s="2">
        <v>21.61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A017-BCF4-41DC-A872-D245D386A0E5}">
  <dimension ref="A1:C9"/>
  <sheetViews>
    <sheetView workbookViewId="0">
      <selection sqref="A1:C9"/>
    </sheetView>
  </sheetViews>
  <sheetFormatPr defaultRowHeight="14.4" x14ac:dyDescent="0.3"/>
  <cols>
    <col min="1" max="1" width="7.77734375" bestFit="1" customWidth="1"/>
    <col min="2" max="2" width="11.6640625" bestFit="1" customWidth="1"/>
    <col min="3" max="3" width="12.88671875" bestFit="1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s="7" t="s">
        <v>12</v>
      </c>
      <c r="B2">
        <v>45.406399999999998</v>
      </c>
      <c r="C2">
        <v>11.876799999999999</v>
      </c>
    </row>
    <row r="3" spans="1:3" x14ac:dyDescent="0.3">
      <c r="A3" s="7" t="s">
        <v>16</v>
      </c>
      <c r="B3">
        <v>45.545499999999997</v>
      </c>
      <c r="C3">
        <v>11.535399999999999</v>
      </c>
    </row>
    <row r="4" spans="1:3" x14ac:dyDescent="0.3">
      <c r="A4" s="7" t="s">
        <v>18</v>
      </c>
      <c r="B4">
        <v>45.541600000000003</v>
      </c>
      <c r="C4">
        <v>10.2118</v>
      </c>
    </row>
    <row r="5" spans="1:3" x14ac:dyDescent="0.3">
      <c r="A5" s="7" t="s">
        <v>20</v>
      </c>
      <c r="B5">
        <v>45.156399999999998</v>
      </c>
      <c r="C5">
        <v>10.791399999999999</v>
      </c>
    </row>
    <row r="6" spans="1:3" x14ac:dyDescent="0.3">
      <c r="A6" s="7" t="s">
        <v>23</v>
      </c>
      <c r="B6">
        <v>46.074800000000003</v>
      </c>
      <c r="C6">
        <v>11.121700000000001</v>
      </c>
    </row>
    <row r="7" spans="1:3" x14ac:dyDescent="0.3">
      <c r="A7" s="7" t="s">
        <v>29</v>
      </c>
      <c r="B7">
        <v>45.464199999999998</v>
      </c>
      <c r="C7">
        <v>9.19</v>
      </c>
    </row>
    <row r="8" spans="1:3" x14ac:dyDescent="0.3">
      <c r="A8" s="7" t="s">
        <v>30</v>
      </c>
      <c r="B8">
        <v>44.494900000000001</v>
      </c>
      <c r="C8">
        <v>11.342599999999999</v>
      </c>
    </row>
    <row r="9" spans="1:3" x14ac:dyDescent="0.3">
      <c r="A9" s="7" t="s">
        <v>11</v>
      </c>
      <c r="B9">
        <v>45.438400000000001</v>
      </c>
      <c r="C9">
        <v>10.9916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66AD-7A31-4400-8876-5C43D6E17F13}">
  <dimension ref="A1:C9"/>
  <sheetViews>
    <sheetView workbookViewId="0">
      <selection sqref="A1:C9"/>
    </sheetView>
  </sheetViews>
  <sheetFormatPr defaultRowHeight="14.4" x14ac:dyDescent="0.3"/>
  <cols>
    <col min="1" max="1" width="17.33203125" customWidth="1"/>
    <col min="2" max="2" width="20.5546875" customWidth="1"/>
    <col min="3" max="3" width="14.5546875" customWidth="1"/>
  </cols>
  <sheetData>
    <row r="1" spans="1:3" x14ac:dyDescent="0.3">
      <c r="A1" s="5" t="s">
        <v>32</v>
      </c>
      <c r="B1" s="5" t="s">
        <v>33</v>
      </c>
      <c r="C1" s="5" t="s">
        <v>34</v>
      </c>
    </row>
    <row r="2" spans="1:3" x14ac:dyDescent="0.3">
      <c r="A2" s="6" t="s">
        <v>12</v>
      </c>
      <c r="B2" s="6">
        <v>45.406399999999998</v>
      </c>
      <c r="C2" s="6">
        <v>11.876799999999999</v>
      </c>
    </row>
    <row r="3" spans="1:3" x14ac:dyDescent="0.3">
      <c r="A3" s="6" t="s">
        <v>16</v>
      </c>
      <c r="B3" s="6">
        <v>45.545499999999997</v>
      </c>
      <c r="C3" s="6">
        <v>11.535399999999999</v>
      </c>
    </row>
    <row r="4" spans="1:3" x14ac:dyDescent="0.3">
      <c r="A4" s="6" t="s">
        <v>18</v>
      </c>
      <c r="B4" s="6">
        <v>45.541600000000003</v>
      </c>
      <c r="C4" s="6">
        <v>10.2118</v>
      </c>
    </row>
    <row r="5" spans="1:3" x14ac:dyDescent="0.3">
      <c r="A5" s="6" t="s">
        <v>20</v>
      </c>
      <c r="B5" s="6">
        <v>45.156399999999998</v>
      </c>
      <c r="C5" s="6">
        <v>10.791399999999999</v>
      </c>
    </row>
    <row r="6" spans="1:3" x14ac:dyDescent="0.3">
      <c r="A6" s="6" t="s">
        <v>23</v>
      </c>
      <c r="B6" s="6">
        <v>46.074800000000003</v>
      </c>
      <c r="C6" s="6">
        <v>11.121700000000001</v>
      </c>
    </row>
    <row r="7" spans="1:3" x14ac:dyDescent="0.3">
      <c r="A7" s="6" t="s">
        <v>29</v>
      </c>
      <c r="B7" s="6">
        <v>45.464199999999998</v>
      </c>
      <c r="C7" s="6">
        <v>9.19</v>
      </c>
    </row>
    <row r="8" spans="1:3" x14ac:dyDescent="0.3">
      <c r="A8" s="6" t="s">
        <v>30</v>
      </c>
      <c r="B8" s="6">
        <v>44.494900000000001</v>
      </c>
      <c r="C8" s="6">
        <v>11.342599999999999</v>
      </c>
    </row>
    <row r="9" spans="1:3" x14ac:dyDescent="0.3">
      <c r="A9" s="6" t="s">
        <v>11</v>
      </c>
      <c r="B9" s="6">
        <v>45.438400000000001</v>
      </c>
      <c r="C9" s="6">
        <v>10.9916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2488C-333E-42C5-B955-528E97D42B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TBL_VIAGGI</vt:lpstr>
      <vt:lpstr>business_travel_dataset</vt:lpstr>
      <vt:lpstr>TBL_COORDINATE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CARUSO</dc:creator>
  <cp:lastModifiedBy>FABIOLA CARUSO</cp:lastModifiedBy>
  <dcterms:created xsi:type="dcterms:W3CDTF">2026-05-16T12:48:58Z</dcterms:created>
  <dcterms:modified xsi:type="dcterms:W3CDTF">2026-05-17T11:43:12Z</dcterms:modified>
</cp:coreProperties>
</file>